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onb/Downloads/"/>
    </mc:Choice>
  </mc:AlternateContent>
  <xr:revisionPtr revIDLastSave="0" documentId="13_ncr:1_{1EBA07C1-C68D-2B47-86FC-5D88A51F4413}" xr6:coauthVersionLast="47" xr6:coauthVersionMax="47" xr10:uidLastSave="{00000000-0000-0000-0000-000000000000}"/>
  <bookViews>
    <workbookView xWindow="0" yWindow="500" windowWidth="28800" windowHeight="16860" activeTab="3" xr2:uid="{F7190AE8-45AB-2A49-83A7-EE11CB570253}"/>
  </bookViews>
  <sheets>
    <sheet name="plan de producción" sheetId="11" r:id="rId1"/>
    <sheet name="Mano de obra" sheetId="10" r:id="rId2"/>
    <sheet name="Precios y materiales " sheetId="8" r:id="rId3"/>
    <sheet name="despachados" sheetId="15" r:id="rId4"/>
  </sheets>
  <definedNames>
    <definedName name="_xlnm._FilterDatabase" localSheetId="0" hidden="1">'plan de producción'!$A$4:$AO$42</definedName>
    <definedName name="_xlnm._FilterDatabase" localSheetId="2" hidden="1">'Precios y materiales '!$A$2:$Q$147</definedName>
    <definedName name="_xlnm.Print_Area" localSheetId="0">'plan de producción'!$A$2:$AO$37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" i="11" l="1"/>
  <c r="Z27" i="11"/>
  <c r="AA47" i="11"/>
  <c r="AB47" i="11" s="1"/>
  <c r="AC47" i="11" s="1"/>
  <c r="AA48" i="11"/>
  <c r="AB48" i="11" s="1"/>
  <c r="AC48" i="11" s="1"/>
  <c r="AA49" i="11"/>
  <c r="AB49" i="11" s="1"/>
  <c r="AC49" i="11" s="1"/>
  <c r="Z43" i="11"/>
  <c r="Z44" i="11"/>
  <c r="Z45" i="11"/>
  <c r="Z46" i="11"/>
  <c r="Z47" i="11"/>
  <c r="Z48" i="11"/>
  <c r="Z49" i="11"/>
  <c r="T46" i="11"/>
  <c r="T48" i="11"/>
  <c r="T49" i="11"/>
  <c r="T47" i="11"/>
  <c r="Z10" i="10"/>
  <c r="Y10" i="10"/>
  <c r="Z42" i="11"/>
  <c r="AA42" i="11"/>
  <c r="AB42" i="11" s="1"/>
  <c r="AC42" i="11" s="1"/>
  <c r="AH42" i="11"/>
  <c r="AI42" i="11"/>
  <c r="AJ42" i="11"/>
  <c r="AK42" i="11"/>
  <c r="AL42" i="11"/>
  <c r="AM42" i="11"/>
  <c r="AN42" i="11"/>
  <c r="AA43" i="11"/>
  <c r="AB43" i="11" s="1"/>
  <c r="AC43" i="11" s="1"/>
  <c r="AH43" i="11"/>
  <c r="AI43" i="11"/>
  <c r="AJ43" i="11"/>
  <c r="AK43" i="11"/>
  <c r="AL43" i="11"/>
  <c r="AM43" i="11"/>
  <c r="AN43" i="11"/>
  <c r="AA44" i="11"/>
  <c r="AB44" i="11" s="1"/>
  <c r="AC44" i="11" s="1"/>
  <c r="AH44" i="11"/>
  <c r="AI44" i="11"/>
  <c r="AJ44" i="11"/>
  <c r="AK44" i="11"/>
  <c r="AL44" i="11"/>
  <c r="AM44" i="11"/>
  <c r="AN44" i="11"/>
  <c r="AA45" i="11"/>
  <c r="AB45" i="11" s="1"/>
  <c r="AC45" i="11" s="1"/>
  <c r="AH45" i="11"/>
  <c r="AI45" i="11"/>
  <c r="AJ45" i="11"/>
  <c r="AK45" i="11"/>
  <c r="AL45" i="11"/>
  <c r="AM45" i="11"/>
  <c r="AN45" i="11"/>
  <c r="AA46" i="11"/>
  <c r="AB46" i="11" s="1"/>
  <c r="AC46" i="11" s="1"/>
  <c r="AH46" i="11"/>
  <c r="AI46" i="11"/>
  <c r="AJ46" i="11"/>
  <c r="AK46" i="11"/>
  <c r="AL46" i="11"/>
  <c r="AM46" i="11"/>
  <c r="AN46" i="11"/>
  <c r="T43" i="11"/>
  <c r="T44" i="11"/>
  <c r="T45" i="11"/>
  <c r="AH32" i="11"/>
  <c r="AI32" i="11"/>
  <c r="AJ32" i="11"/>
  <c r="AK32" i="11"/>
  <c r="AL32" i="11"/>
  <c r="AM32" i="11"/>
  <c r="AN32" i="11"/>
  <c r="AH33" i="11"/>
  <c r="AI33" i="11"/>
  <c r="AJ33" i="11"/>
  <c r="AK33" i="11"/>
  <c r="AL33" i="11"/>
  <c r="AM33" i="11"/>
  <c r="AN33" i="11"/>
  <c r="AH34" i="11"/>
  <c r="AI34" i="11"/>
  <c r="AJ34" i="11"/>
  <c r="AK34" i="11"/>
  <c r="AL34" i="11"/>
  <c r="AM34" i="11"/>
  <c r="AN34" i="11"/>
  <c r="AH35" i="11"/>
  <c r="AI35" i="11"/>
  <c r="AJ35" i="11"/>
  <c r="AK35" i="11"/>
  <c r="AL35" i="11"/>
  <c r="AM35" i="11"/>
  <c r="AN35" i="11"/>
  <c r="AH36" i="11"/>
  <c r="AI36" i="11"/>
  <c r="AJ36" i="11"/>
  <c r="AK36" i="11"/>
  <c r="AL36" i="11"/>
  <c r="AM36" i="11"/>
  <c r="AN36" i="11"/>
  <c r="AH37" i="11"/>
  <c r="AI37" i="11"/>
  <c r="AJ37" i="11"/>
  <c r="AK37" i="11"/>
  <c r="AL37" i="11"/>
  <c r="AM37" i="11"/>
  <c r="AN37" i="11"/>
  <c r="AH38" i="11"/>
  <c r="AI38" i="11"/>
  <c r="AJ38" i="11"/>
  <c r="AK38" i="11"/>
  <c r="AL38" i="11"/>
  <c r="AM38" i="11"/>
  <c r="AN38" i="11"/>
  <c r="AH39" i="11"/>
  <c r="AI39" i="11"/>
  <c r="AJ39" i="11"/>
  <c r="AK39" i="11"/>
  <c r="AL39" i="11"/>
  <c r="AM39" i="11"/>
  <c r="AN39" i="11"/>
  <c r="AH40" i="11"/>
  <c r="AI40" i="11"/>
  <c r="AJ40" i="11"/>
  <c r="AK40" i="11"/>
  <c r="AL40" i="11"/>
  <c r="AM40" i="11"/>
  <c r="AN40" i="11"/>
  <c r="AH41" i="11"/>
  <c r="AI41" i="11"/>
  <c r="AJ41" i="11"/>
  <c r="AK41" i="11"/>
  <c r="AL41" i="11"/>
  <c r="AM41" i="11"/>
  <c r="AN41" i="11"/>
  <c r="AA34" i="11"/>
  <c r="AB34" i="11" s="1"/>
  <c r="AC34" i="11" s="1"/>
  <c r="AA35" i="11"/>
  <c r="AB35" i="11" s="1"/>
  <c r="AC35" i="11" s="1"/>
  <c r="AA36" i="11"/>
  <c r="AB36" i="11" s="1"/>
  <c r="AC36" i="11" s="1"/>
  <c r="AA37" i="11"/>
  <c r="AB37" i="11" s="1"/>
  <c r="AC37" i="11" s="1"/>
  <c r="AA38" i="11"/>
  <c r="AB38" i="11" s="1"/>
  <c r="AC38" i="11" s="1"/>
  <c r="AA39" i="11"/>
  <c r="AB39" i="11" s="1"/>
  <c r="AC39" i="11" s="1"/>
  <c r="AA40" i="11"/>
  <c r="AB40" i="11" s="1"/>
  <c r="AC40" i="11" s="1"/>
  <c r="AA41" i="11"/>
  <c r="AB41" i="11" s="1"/>
  <c r="AC41" i="11" s="1"/>
  <c r="Z33" i="11"/>
  <c r="Z34" i="11"/>
  <c r="Z35" i="11"/>
  <c r="Z36" i="11"/>
  <c r="Z37" i="11"/>
  <c r="Z38" i="11"/>
  <c r="Z39" i="11"/>
  <c r="Z40" i="11"/>
  <c r="Z41" i="11"/>
  <c r="T37" i="11"/>
  <c r="T38" i="11"/>
  <c r="T39" i="11"/>
  <c r="T40" i="11"/>
  <c r="T41" i="11"/>
  <c r="T42" i="11"/>
  <c r="T36" i="11"/>
  <c r="AA5" i="11"/>
  <c r="AB5" i="11" s="1"/>
  <c r="AC5" i="11" s="1"/>
  <c r="AA6" i="11"/>
  <c r="AB6" i="11" s="1"/>
  <c r="AC6" i="11" s="1"/>
  <c r="AA7" i="11"/>
  <c r="AB7" i="11" s="1"/>
  <c r="AC7" i="11" s="1"/>
  <c r="AA8" i="11"/>
  <c r="AB8" i="11" s="1"/>
  <c r="AC8" i="11" s="1"/>
  <c r="AA9" i="11"/>
  <c r="AB9" i="11" s="1"/>
  <c r="AC9" i="11" s="1"/>
  <c r="AA10" i="11"/>
  <c r="AB10" i="11" s="1"/>
  <c r="AC10" i="11" s="1"/>
  <c r="AA11" i="11"/>
  <c r="AB11" i="11" s="1"/>
  <c r="AC11" i="11" s="1"/>
  <c r="AA12" i="11"/>
  <c r="AB12" i="11" s="1"/>
  <c r="AC12" i="11" s="1"/>
  <c r="AA13" i="11"/>
  <c r="AB13" i="11" s="1"/>
  <c r="AC13" i="11" s="1"/>
  <c r="AA14" i="11"/>
  <c r="AB14" i="11" s="1"/>
  <c r="AC14" i="11" s="1"/>
  <c r="AA15" i="11"/>
  <c r="AB15" i="11" s="1"/>
  <c r="AC15" i="11" s="1"/>
  <c r="AA16" i="11"/>
  <c r="AB16" i="11" s="1"/>
  <c r="AC16" i="11" s="1"/>
  <c r="AA17" i="11"/>
  <c r="AB17" i="11" s="1"/>
  <c r="AC17" i="11" s="1"/>
  <c r="AA18" i="11"/>
  <c r="AB18" i="11" s="1"/>
  <c r="AC18" i="11" s="1"/>
  <c r="AA19" i="11"/>
  <c r="AB19" i="11" s="1"/>
  <c r="AC19" i="11" s="1"/>
  <c r="AA20" i="11"/>
  <c r="AB20" i="11" s="1"/>
  <c r="AC20" i="11" s="1"/>
  <c r="AA21" i="11"/>
  <c r="AB21" i="11" s="1"/>
  <c r="AC21" i="11" s="1"/>
  <c r="AA22" i="11"/>
  <c r="AB22" i="11" s="1"/>
  <c r="AC22" i="11" s="1"/>
  <c r="AA23" i="11"/>
  <c r="AB23" i="11" s="1"/>
  <c r="AC23" i="11" s="1"/>
  <c r="AB24" i="11"/>
  <c r="AC24" i="11" s="1"/>
  <c r="AA25" i="11"/>
  <c r="AB25" i="11" s="1"/>
  <c r="AC25" i="11" s="1"/>
  <c r="AA26" i="11"/>
  <c r="AB26" i="11" s="1"/>
  <c r="AC26" i="11" s="1"/>
  <c r="AA27" i="11"/>
  <c r="AB27" i="11" s="1"/>
  <c r="AC27" i="11" s="1"/>
  <c r="AA28" i="11"/>
  <c r="AB28" i="11" s="1"/>
  <c r="AC28" i="11" s="1"/>
  <c r="AA29" i="11"/>
  <c r="AB29" i="11" s="1"/>
  <c r="AC29" i="11" s="1"/>
  <c r="AA30" i="11"/>
  <c r="AB30" i="11" s="1"/>
  <c r="AC30" i="11" s="1"/>
  <c r="AA31" i="11"/>
  <c r="AB31" i="11" s="1"/>
  <c r="AC31" i="11" s="1"/>
  <c r="AA32" i="11"/>
  <c r="AB32" i="11" s="1"/>
  <c r="AC32" i="11" s="1"/>
  <c r="AA33" i="11"/>
  <c r="AB33" i="11" s="1"/>
  <c r="AC33" i="11" s="1"/>
  <c r="AY9" i="10"/>
  <c r="AZ9" i="10"/>
  <c r="BA9" i="10"/>
  <c r="BB9" i="10"/>
  <c r="BC9" i="10"/>
  <c r="BD9" i="10"/>
  <c r="BE9" i="10"/>
  <c r="BF9" i="10"/>
  <c r="BG9" i="10"/>
  <c r="BH9" i="10"/>
  <c r="BI9" i="10"/>
  <c r="BJ9" i="10"/>
  <c r="BK9" i="10"/>
  <c r="BL9" i="10"/>
  <c r="BM9" i="10"/>
  <c r="BN9" i="10"/>
  <c r="BO9" i="10"/>
  <c r="BP9" i="10"/>
  <c r="AY10" i="10"/>
  <c r="AZ10" i="10"/>
  <c r="BA10" i="10"/>
  <c r="BB10" i="10"/>
  <c r="BC10" i="10"/>
  <c r="BD10" i="10"/>
  <c r="BE10" i="10"/>
  <c r="BF10" i="10"/>
  <c r="BG10" i="10"/>
  <c r="BH10" i="10"/>
  <c r="BI10" i="10"/>
  <c r="BJ10" i="10"/>
  <c r="BK10" i="10"/>
  <c r="BL10" i="10"/>
  <c r="BM10" i="10"/>
  <c r="BN10" i="10"/>
  <c r="BO10" i="10"/>
  <c r="BP10" i="10"/>
  <c r="AY11" i="10"/>
  <c r="AZ11" i="10"/>
  <c r="BA11" i="10"/>
  <c r="BB11" i="10"/>
  <c r="BC11" i="10"/>
  <c r="BD11" i="10"/>
  <c r="BE11" i="10"/>
  <c r="BF11" i="10"/>
  <c r="BG11" i="10"/>
  <c r="BH11" i="10"/>
  <c r="BI11" i="10"/>
  <c r="BJ11" i="10"/>
  <c r="BK11" i="10"/>
  <c r="BL11" i="10"/>
  <c r="BM11" i="10"/>
  <c r="BN11" i="10"/>
  <c r="BO11" i="10"/>
  <c r="BP11" i="10"/>
  <c r="AY12" i="10"/>
  <c r="AZ12" i="10"/>
  <c r="BA12" i="10"/>
  <c r="BB12" i="10"/>
  <c r="BC12" i="10"/>
  <c r="BD12" i="10"/>
  <c r="BE12" i="10"/>
  <c r="BF12" i="10"/>
  <c r="BG12" i="10"/>
  <c r="BH12" i="10"/>
  <c r="BI12" i="10"/>
  <c r="BJ12" i="10"/>
  <c r="BK12" i="10"/>
  <c r="BL12" i="10"/>
  <c r="BM12" i="10"/>
  <c r="BN12" i="10"/>
  <c r="BO12" i="10"/>
  <c r="BP12" i="10"/>
  <c r="AY13" i="10"/>
  <c r="AZ13" i="10"/>
  <c r="BA13" i="10"/>
  <c r="BB13" i="10"/>
  <c r="BC13" i="10"/>
  <c r="BD13" i="10"/>
  <c r="BE13" i="10"/>
  <c r="BF13" i="10"/>
  <c r="BG13" i="10"/>
  <c r="BH13" i="10"/>
  <c r="BI13" i="10"/>
  <c r="BJ13" i="10"/>
  <c r="BK13" i="10"/>
  <c r="BL13" i="10"/>
  <c r="BM13" i="10"/>
  <c r="BN13" i="10"/>
  <c r="BO13" i="10"/>
  <c r="BP13" i="10"/>
  <c r="AY14" i="10"/>
  <c r="AZ14" i="10"/>
  <c r="BA14" i="10"/>
  <c r="BB14" i="10"/>
  <c r="BC14" i="10"/>
  <c r="BD14" i="10"/>
  <c r="BE14" i="10"/>
  <c r="BF14" i="10"/>
  <c r="BG14" i="10"/>
  <c r="BH14" i="10"/>
  <c r="BI14" i="10"/>
  <c r="BJ14" i="10"/>
  <c r="BK14" i="10"/>
  <c r="BL14" i="10"/>
  <c r="BM14" i="10"/>
  <c r="BN14" i="10"/>
  <c r="BO14" i="10"/>
  <c r="BP14" i="10"/>
  <c r="AY15" i="10"/>
  <c r="AZ15" i="10"/>
  <c r="BA15" i="10"/>
  <c r="BB15" i="10"/>
  <c r="BC15" i="10"/>
  <c r="BD15" i="10"/>
  <c r="BE15" i="10"/>
  <c r="BF15" i="10"/>
  <c r="BG15" i="10"/>
  <c r="BH15" i="10"/>
  <c r="BI15" i="10"/>
  <c r="BJ15" i="10"/>
  <c r="BK15" i="10"/>
  <c r="BL15" i="10"/>
  <c r="BM15" i="10"/>
  <c r="BN15" i="10"/>
  <c r="BO15" i="10"/>
  <c r="BP15" i="10"/>
  <c r="AY16" i="10"/>
  <c r="AZ16" i="10"/>
  <c r="BA16" i="10"/>
  <c r="BB16" i="10"/>
  <c r="BC16" i="10"/>
  <c r="BD16" i="10"/>
  <c r="BE16" i="10"/>
  <c r="BF16" i="10"/>
  <c r="BG16" i="10"/>
  <c r="BH16" i="10"/>
  <c r="BI16" i="10"/>
  <c r="BJ16" i="10"/>
  <c r="BK16" i="10"/>
  <c r="BL16" i="10"/>
  <c r="BM16" i="10"/>
  <c r="BN16" i="10"/>
  <c r="BO16" i="10"/>
  <c r="BP16" i="10"/>
  <c r="AY18" i="10"/>
  <c r="AZ18" i="10"/>
  <c r="BA18" i="10"/>
  <c r="BB18" i="10"/>
  <c r="BC18" i="10"/>
  <c r="BD18" i="10"/>
  <c r="BE18" i="10"/>
  <c r="BF18" i="10"/>
  <c r="BG18" i="10"/>
  <c r="BH18" i="10"/>
  <c r="BI18" i="10"/>
  <c r="BJ18" i="10"/>
  <c r="BK18" i="10"/>
  <c r="BL18" i="10"/>
  <c r="BM18" i="10"/>
  <c r="BN18" i="10"/>
  <c r="BO18" i="10"/>
  <c r="BP18" i="10"/>
  <c r="AY19" i="10"/>
  <c r="AZ19" i="10"/>
  <c r="BA19" i="10"/>
  <c r="BB19" i="10"/>
  <c r="BC19" i="10"/>
  <c r="BD19" i="10"/>
  <c r="BE19" i="10"/>
  <c r="BF19" i="10"/>
  <c r="BG19" i="10"/>
  <c r="BH19" i="10"/>
  <c r="BI19" i="10"/>
  <c r="BJ19" i="10"/>
  <c r="BK19" i="10"/>
  <c r="BL19" i="10"/>
  <c r="BM19" i="10"/>
  <c r="BN19" i="10"/>
  <c r="BO19" i="10"/>
  <c r="BP19" i="10"/>
  <c r="Q9" i="10"/>
  <c r="R9" i="10"/>
  <c r="S9" i="10"/>
  <c r="T9" i="10"/>
  <c r="U9" i="10"/>
  <c r="V9" i="10"/>
  <c r="W9" i="10"/>
  <c r="AA9" i="10"/>
  <c r="AB9" i="10"/>
  <c r="AD9" i="10"/>
  <c r="AE9" i="10"/>
  <c r="AF9" i="10"/>
  <c r="AG9" i="10"/>
  <c r="AH9" i="10"/>
  <c r="AI9" i="10"/>
  <c r="AJ9" i="10"/>
  <c r="AK9" i="10"/>
  <c r="AL9" i="10"/>
  <c r="AM9" i="10"/>
  <c r="AN9" i="10"/>
  <c r="AO9" i="10"/>
  <c r="AP9" i="10"/>
  <c r="AQ9" i="10"/>
  <c r="AR9" i="10"/>
  <c r="AS9" i="10"/>
  <c r="AT9" i="10"/>
  <c r="AU9" i="10"/>
  <c r="AV9" i="10"/>
  <c r="AW9" i="10"/>
  <c r="AX9" i="10"/>
  <c r="Q10" i="10"/>
  <c r="R10" i="10"/>
  <c r="S10" i="10"/>
  <c r="T10" i="10"/>
  <c r="U10" i="10"/>
  <c r="V10" i="10"/>
  <c r="W10" i="10"/>
  <c r="X10" i="10"/>
  <c r="AA10" i="10"/>
  <c r="AB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AX10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D11" i="10"/>
  <c r="AE11" i="10"/>
  <c r="AF11" i="10"/>
  <c r="AG11" i="10"/>
  <c r="AH11" i="10"/>
  <c r="AI11" i="10"/>
  <c r="AJ11" i="10"/>
  <c r="AK11" i="10"/>
  <c r="AL11" i="10"/>
  <c r="AM11" i="10"/>
  <c r="AN11" i="10"/>
  <c r="AO11" i="10"/>
  <c r="AP11" i="10"/>
  <c r="AQ11" i="10"/>
  <c r="AR11" i="10"/>
  <c r="AS11" i="10"/>
  <c r="AT11" i="10"/>
  <c r="AU11" i="10"/>
  <c r="AV11" i="10"/>
  <c r="AW11" i="10"/>
  <c r="AX11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AV12" i="10"/>
  <c r="AW12" i="10"/>
  <c r="AX12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AR13" i="10"/>
  <c r="AS13" i="10"/>
  <c r="AT13" i="10"/>
  <c r="AU13" i="10"/>
  <c r="AV13" i="10"/>
  <c r="AW13" i="10"/>
  <c r="AX13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AR14" i="10"/>
  <c r="AS14" i="10"/>
  <c r="AT14" i="10"/>
  <c r="AU14" i="10"/>
  <c r="AV14" i="10"/>
  <c r="AW14" i="10"/>
  <c r="AX14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AR15" i="10"/>
  <c r="AS15" i="10"/>
  <c r="AT15" i="10"/>
  <c r="AU15" i="10"/>
  <c r="AV15" i="10"/>
  <c r="AW15" i="10"/>
  <c r="AX15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AX16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AX18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AX19" i="10"/>
  <c r="AN27" i="11"/>
  <c r="AM27" i="11"/>
  <c r="AL27" i="11"/>
  <c r="AK27" i="11"/>
  <c r="AJ27" i="11"/>
  <c r="AI27" i="11"/>
  <c r="AH27" i="11"/>
  <c r="AN28" i="11"/>
  <c r="AM28" i="11"/>
  <c r="AL28" i="11"/>
  <c r="AK28" i="11"/>
  <c r="AJ28" i="11"/>
  <c r="AI28" i="11"/>
  <c r="AH28" i="11"/>
  <c r="Z28" i="11"/>
  <c r="AJ18" i="11"/>
  <c r="Z5" i="11"/>
  <c r="Z13" i="11"/>
  <c r="Z10" i="11"/>
  <c r="Z17" i="11"/>
  <c r="Z18" i="11"/>
  <c r="Z9" i="11"/>
  <c r="Z29" i="11"/>
  <c r="Z30" i="11"/>
  <c r="Z31" i="11"/>
  <c r="Z6" i="11"/>
  <c r="Z7" i="11"/>
  <c r="Z11" i="11"/>
  <c r="Z12" i="11"/>
  <c r="Z8" i="11"/>
  <c r="Z19" i="11"/>
  <c r="Z20" i="11"/>
  <c r="Z21" i="11"/>
  <c r="Z14" i="11"/>
  <c r="Z15" i="11"/>
  <c r="Z16" i="11"/>
  <c r="Z22" i="11"/>
  <c r="Z32" i="11"/>
  <c r="Z23" i="11"/>
  <c r="Z24" i="11"/>
  <c r="Z25" i="11"/>
  <c r="Z26" i="11"/>
  <c r="O14" i="10"/>
  <c r="P14" i="10"/>
  <c r="AD5" i="11" l="1"/>
  <c r="AD6" i="11" s="1"/>
  <c r="AD7" i="11" s="1"/>
  <c r="AD8" i="11" s="1"/>
  <c r="AD9" i="11" s="1"/>
  <c r="AD10" i="11" s="1"/>
  <c r="AD11" i="11" s="1"/>
  <c r="AD12" i="11" s="1"/>
  <c r="AD13" i="11" s="1"/>
  <c r="AD14" i="11" s="1"/>
  <c r="AD15" i="11" s="1"/>
  <c r="AD16" i="11" s="1"/>
  <c r="AD17" i="11" s="1"/>
  <c r="AD18" i="11" s="1"/>
  <c r="AD19" i="11" s="1"/>
  <c r="AD20" i="11" s="1"/>
  <c r="AD21" i="11" s="1"/>
  <c r="AD22" i="11" s="1"/>
  <c r="AD23" i="11" s="1"/>
  <c r="AD24" i="11" s="1"/>
  <c r="AD25" i="11" s="1"/>
  <c r="AD26" i="11" s="1"/>
  <c r="AD27" i="11" s="1"/>
  <c r="AD28" i="11" s="1"/>
  <c r="AD29" i="11" s="1"/>
  <c r="AD30" i="11" s="1"/>
  <c r="AD31" i="11" s="1"/>
  <c r="AD32" i="11" s="1"/>
  <c r="AD33" i="11" s="1"/>
  <c r="AD34" i="11" s="1"/>
  <c r="AD35" i="11" s="1"/>
  <c r="AD36" i="11" s="1"/>
  <c r="AD37" i="11" s="1"/>
  <c r="AD38" i="11" s="1"/>
  <c r="AD39" i="11" s="1"/>
  <c r="AD40" i="11" s="1"/>
  <c r="AD41" i="11" s="1"/>
  <c r="AD42" i="11" s="1"/>
  <c r="AD43" i="11" s="1"/>
  <c r="AD44" i="11" s="1"/>
  <c r="AD45" i="11" s="1"/>
  <c r="AD46" i="11" s="1"/>
  <c r="AD47" i="11" s="1"/>
  <c r="AD48" i="11" s="1"/>
  <c r="AD49" i="11" s="1"/>
  <c r="AN7" i="11"/>
  <c r="AM7" i="11"/>
  <c r="AL7" i="11"/>
  <c r="AK7" i="11"/>
  <c r="AJ7" i="11"/>
  <c r="AI7" i="11"/>
  <c r="AH7" i="11"/>
  <c r="AN11" i="11"/>
  <c r="AM11" i="11"/>
  <c r="AL11" i="11"/>
  <c r="AK11" i="11"/>
  <c r="AJ11" i="11"/>
  <c r="AI11" i="11"/>
  <c r="AH11" i="11"/>
  <c r="AN12" i="11"/>
  <c r="AM12" i="11"/>
  <c r="AL12" i="11"/>
  <c r="AK12" i="11"/>
  <c r="AJ12" i="11"/>
  <c r="AI12" i="11"/>
  <c r="AH12" i="11"/>
  <c r="AH5" i="11"/>
  <c r="AI5" i="11"/>
  <c r="AJ5" i="11"/>
  <c r="AK5" i="11"/>
  <c r="AL5" i="11"/>
  <c r="AM5" i="11"/>
  <c r="AN5" i="11"/>
  <c r="AH13" i="11"/>
  <c r="AI13" i="11"/>
  <c r="AJ13" i="11"/>
  <c r="AK13" i="11"/>
  <c r="AL13" i="11"/>
  <c r="AM13" i="11"/>
  <c r="AN13" i="11"/>
  <c r="AH10" i="11"/>
  <c r="AI10" i="11"/>
  <c r="AJ10" i="11"/>
  <c r="AK10" i="11"/>
  <c r="AL10" i="11"/>
  <c r="AM10" i="11"/>
  <c r="AN10" i="11"/>
  <c r="AH9" i="11"/>
  <c r="AI9" i="11"/>
  <c r="AJ9" i="11"/>
  <c r="AK9" i="11"/>
  <c r="AL9" i="11"/>
  <c r="AM9" i="11"/>
  <c r="AN9" i="11"/>
  <c r="AH17" i="11"/>
  <c r="AI17" i="11"/>
  <c r="AJ17" i="11"/>
  <c r="AK17" i="11"/>
  <c r="AL17" i="11"/>
  <c r="AM17" i="11"/>
  <c r="AN17" i="11"/>
  <c r="AH18" i="11"/>
  <c r="AI18" i="11"/>
  <c r="AK18" i="11"/>
  <c r="AL18" i="11"/>
  <c r="AM18" i="11"/>
  <c r="AN18" i="11"/>
  <c r="AH29" i="11"/>
  <c r="AI29" i="11"/>
  <c r="AJ29" i="11"/>
  <c r="AK29" i="11"/>
  <c r="AL29" i="11"/>
  <c r="AM29" i="11"/>
  <c r="AN29" i="11"/>
  <c r="AH30" i="11"/>
  <c r="AI30" i="11"/>
  <c r="AJ30" i="11"/>
  <c r="AK30" i="11"/>
  <c r="AL30" i="11"/>
  <c r="AM30" i="11"/>
  <c r="AN30" i="11"/>
  <c r="AH31" i="11"/>
  <c r="AI31" i="11"/>
  <c r="AJ31" i="11"/>
  <c r="AK31" i="11"/>
  <c r="AL31" i="11"/>
  <c r="AM31" i="11"/>
  <c r="AN31" i="11"/>
  <c r="AH6" i="11"/>
  <c r="AI6" i="11"/>
  <c r="AJ6" i="11"/>
  <c r="AK6" i="11"/>
  <c r="AL6" i="11"/>
  <c r="AM6" i="11"/>
  <c r="AN6" i="11"/>
  <c r="AH8" i="11"/>
  <c r="AI8" i="11"/>
  <c r="AJ8" i="11"/>
  <c r="AK8" i="11"/>
  <c r="AL8" i="11"/>
  <c r="AM8" i="11"/>
  <c r="AN8" i="11"/>
  <c r="AH19" i="11"/>
  <c r="AI19" i="11"/>
  <c r="AJ19" i="11"/>
  <c r="AK19" i="11"/>
  <c r="AL19" i="11"/>
  <c r="AM19" i="11"/>
  <c r="AN19" i="11"/>
  <c r="AH20" i="11"/>
  <c r="AI20" i="11"/>
  <c r="AJ20" i="11"/>
  <c r="AK20" i="11"/>
  <c r="AL20" i="11"/>
  <c r="AM20" i="11"/>
  <c r="AN20" i="11"/>
  <c r="AH21" i="11"/>
  <c r="AI21" i="11"/>
  <c r="AJ21" i="11"/>
  <c r="AK21" i="11"/>
  <c r="AL21" i="11"/>
  <c r="AM21" i="11"/>
  <c r="AN21" i="11"/>
  <c r="AH14" i="11"/>
  <c r="AI14" i="11"/>
  <c r="AJ14" i="11"/>
  <c r="AK14" i="11"/>
  <c r="AL14" i="11"/>
  <c r="AM14" i="11"/>
  <c r="AN14" i="11"/>
  <c r="AH15" i="11"/>
  <c r="AI15" i="11"/>
  <c r="AJ15" i="11"/>
  <c r="AK15" i="11"/>
  <c r="AL15" i="11"/>
  <c r="AM15" i="11"/>
  <c r="AN15" i="11"/>
  <c r="AH16" i="11"/>
  <c r="AI16" i="11"/>
  <c r="AJ16" i="11"/>
  <c r="AK16" i="11"/>
  <c r="AL16" i="11"/>
  <c r="AM16" i="11"/>
  <c r="AN16" i="11"/>
  <c r="AH22" i="11"/>
  <c r="AI22" i="11"/>
  <c r="AJ22" i="11"/>
  <c r="AK22" i="11"/>
  <c r="AL22" i="11"/>
  <c r="AM22" i="11"/>
  <c r="AN22" i="11"/>
  <c r="AH23" i="11"/>
  <c r="AI23" i="11"/>
  <c r="AJ23" i="11"/>
  <c r="AK23" i="11"/>
  <c r="AL23" i="11"/>
  <c r="AM23" i="11"/>
  <c r="AN23" i="11"/>
  <c r="AH24" i="11"/>
  <c r="AI24" i="11"/>
  <c r="AJ24" i="11"/>
  <c r="AK24" i="11"/>
  <c r="AL24" i="11"/>
  <c r="AM24" i="11"/>
  <c r="AN24" i="11"/>
  <c r="AH25" i="11"/>
  <c r="AI25" i="11"/>
  <c r="AJ25" i="11"/>
  <c r="AK25" i="11"/>
  <c r="AL25" i="11"/>
  <c r="AM25" i="11"/>
  <c r="AN25" i="11"/>
  <c r="AH26" i="11"/>
  <c r="AI26" i="11"/>
  <c r="AJ26" i="11"/>
  <c r="AK26" i="11"/>
  <c r="AL26" i="11"/>
  <c r="AM26" i="11"/>
  <c r="AN26" i="11"/>
  <c r="K18" i="10"/>
  <c r="C146" i="8" l="1"/>
  <c r="BP21" i="10" l="1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P19" i="10"/>
  <c r="O19" i="10"/>
  <c r="N19" i="10"/>
  <c r="M19" i="10"/>
  <c r="L19" i="10"/>
  <c r="P18" i="10"/>
  <c r="O18" i="10"/>
  <c r="N18" i="10"/>
  <c r="M18" i="10"/>
  <c r="L18" i="10"/>
  <c r="P16" i="10"/>
  <c r="O16" i="10"/>
  <c r="N16" i="10"/>
  <c r="M16" i="10"/>
  <c r="P15" i="10"/>
  <c r="O15" i="10"/>
  <c r="N15" i="10"/>
  <c r="M15" i="10"/>
  <c r="N14" i="10"/>
  <c r="M14" i="10"/>
  <c r="P13" i="10"/>
  <c r="O13" i="10"/>
  <c r="N13" i="10"/>
  <c r="M13" i="10"/>
  <c r="P12" i="10"/>
  <c r="O12" i="10"/>
  <c r="N12" i="10"/>
  <c r="M12" i="10"/>
  <c r="P11" i="10"/>
  <c r="O11" i="10"/>
  <c r="N11" i="10"/>
  <c r="M11" i="10"/>
  <c r="P10" i="10"/>
  <c r="O10" i="10"/>
  <c r="N10" i="10"/>
  <c r="M10" i="10"/>
  <c r="P9" i="10"/>
  <c r="O9" i="10"/>
  <c r="N9" i="10"/>
  <c r="M9" i="10"/>
  <c r="C82" i="8"/>
  <c r="C83" i="8"/>
  <c r="I7" i="10" l="1"/>
  <c r="H21" i="10"/>
  <c r="I6" i="10" l="1"/>
  <c r="I17" i="10" l="1"/>
  <c r="K17" i="10" s="1"/>
  <c r="I15" i="10" l="1"/>
  <c r="K15" i="10" s="1"/>
  <c r="I14" i="10"/>
  <c r="K14" i="10" s="1"/>
  <c r="G21" i="10" l="1"/>
  <c r="I16" i="10"/>
  <c r="K16" i="10" s="1"/>
  <c r="BF22" i="10" l="1"/>
  <c r="BG22" i="10"/>
  <c r="BH22" i="10"/>
  <c r="BI22" i="10"/>
  <c r="BJ22" i="10"/>
  <c r="BK22" i="10"/>
  <c r="BL22" i="10"/>
  <c r="BM22" i="10"/>
  <c r="BN22" i="10"/>
  <c r="BO22" i="10"/>
  <c r="BP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BA22" i="10"/>
  <c r="BB22" i="10"/>
  <c r="BC22" i="10"/>
  <c r="BD22" i="10"/>
  <c r="BE22" i="10"/>
  <c r="I3" i="10" l="1"/>
  <c r="I4" i="10"/>
  <c r="I5" i="10"/>
  <c r="F7" i="10"/>
  <c r="G7" i="10"/>
  <c r="I9" i="10"/>
  <c r="K9" i="10" s="1"/>
  <c r="I10" i="10"/>
  <c r="K10" i="10" s="1"/>
  <c r="I11" i="10"/>
  <c r="K11" i="10" s="1"/>
  <c r="I12" i="10"/>
  <c r="K12" i="10" s="1"/>
  <c r="I13" i="10"/>
  <c r="K13" i="10" s="1"/>
  <c r="K22" i="10"/>
  <c r="K23" i="10" s="1"/>
  <c r="L22" i="10"/>
  <c r="L23" i="10" s="1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G23" i="10" l="1"/>
  <c r="C11" i="10" s="1"/>
  <c r="C12" i="10" s="1"/>
  <c r="F23" i="10"/>
  <c r="C13" i="10" s="1"/>
  <c r="I21" i="10"/>
  <c r="M23" i="10"/>
  <c r="N23" i="10" s="1"/>
  <c r="O23" i="10" s="1"/>
  <c r="P23" i="10" s="1"/>
  <c r="Q23" i="10" s="1"/>
  <c r="R23" i="10" s="1"/>
  <c r="S23" i="10" s="1"/>
  <c r="T23" i="10" s="1"/>
  <c r="U23" i="10" s="1"/>
  <c r="V23" i="10" s="1"/>
  <c r="W23" i="10" s="1"/>
  <c r="X23" i="10" s="1"/>
  <c r="Y23" i="10" s="1"/>
  <c r="Z23" i="10" s="1"/>
  <c r="B1" i="8"/>
  <c r="C14" i="10" l="1"/>
  <c r="C10" i="10" s="1"/>
  <c r="C9" i="10"/>
  <c r="AA23" i="10"/>
  <c r="AB23" i="10" s="1"/>
  <c r="AC23" i="10" s="1"/>
  <c r="AD23" i="10" s="1"/>
  <c r="AE23" i="10" s="1"/>
  <c r="AF23" i="10" s="1"/>
  <c r="AG23" i="10" s="1"/>
  <c r="AH23" i="10" s="1"/>
  <c r="AI23" i="10" s="1"/>
  <c r="AJ23" i="10" s="1"/>
  <c r="AK23" i="10" s="1"/>
  <c r="AL23" i="10" s="1"/>
  <c r="AM23" i="10" s="1"/>
  <c r="AN23" i="10" s="1"/>
  <c r="AG7" i="11" s="1"/>
  <c r="AO23" i="10" l="1"/>
  <c r="AP23" i="10" s="1"/>
  <c r="AQ23" i="10" s="1"/>
  <c r="AR23" i="10" s="1"/>
  <c r="AS23" i="10" s="1"/>
  <c r="AT23" i="10" s="1"/>
  <c r="AU23" i="10" s="1"/>
  <c r="AV23" i="10" s="1"/>
  <c r="AW23" i="10" s="1"/>
  <c r="AX23" i="10" s="1"/>
  <c r="AY23" i="10" s="1"/>
  <c r="AZ23" i="10" s="1"/>
  <c r="BA23" i="10" s="1"/>
  <c r="BB23" i="10" s="1"/>
  <c r="BC23" i="10" s="1"/>
  <c r="BD23" i="10" s="1"/>
  <c r="BE23" i="10" s="1"/>
  <c r="BF23" i="10" s="1"/>
  <c r="BG23" i="10" l="1"/>
  <c r="AG34" i="11" l="1"/>
  <c r="BH23" i="10"/>
  <c r="AG35" i="11" l="1"/>
  <c r="BI23" i="10"/>
  <c r="AG36" i="11" l="1"/>
  <c r="BJ23" i="10"/>
  <c r="AG37" i="11" l="1"/>
  <c r="BK23" i="10"/>
  <c r="AG38" i="11" l="1"/>
  <c r="BL23" i="10"/>
  <c r="AG39" i="11" l="1"/>
  <c r="BM23" i="10"/>
  <c r="AG47" i="11" l="1"/>
  <c r="AG46" i="11"/>
  <c r="AG49" i="11"/>
  <c r="AG48" i="11"/>
  <c r="AG40" i="11"/>
  <c r="BN23" i="10"/>
  <c r="AG42" i="11" l="1"/>
  <c r="AG41" i="11"/>
  <c r="BO23" i="10"/>
  <c r="AG43" i="11" l="1"/>
  <c r="BP23" i="10"/>
  <c r="AG44" i="11" l="1"/>
  <c r="AG45" i="11" l="1"/>
  <c r="AG5" i="11" l="1"/>
  <c r="AG6" i="11" l="1"/>
  <c r="AG8" i="11" l="1"/>
  <c r="AG9" i="11" l="1"/>
  <c r="AG10" i="11" l="1"/>
  <c r="AG11" i="11" l="1"/>
  <c r="AG12" i="11" l="1"/>
  <c r="AG13" i="11" l="1"/>
  <c r="AG14" i="11" l="1"/>
  <c r="AG15" i="11" l="1"/>
  <c r="AG16" i="11" l="1"/>
  <c r="AG17" i="11" l="1"/>
  <c r="AG18" i="11" l="1"/>
  <c r="AG19" i="11" l="1"/>
  <c r="AG20" i="11" l="1"/>
  <c r="AG21" i="11" l="1"/>
  <c r="AG22" i="11" l="1"/>
  <c r="AG23" i="11" l="1"/>
  <c r="AG24" i="11" l="1"/>
  <c r="AG25" i="11" l="1"/>
  <c r="AG26" i="11" l="1"/>
  <c r="AG27" i="11" l="1"/>
  <c r="AG28" i="11" l="1"/>
  <c r="AG29" i="11" l="1"/>
  <c r="AG30" i="11" l="1"/>
  <c r="AG31" i="11" l="1"/>
  <c r="AG32" i="11" l="1"/>
  <c r="AG33" i="11" l="1"/>
</calcChain>
</file>

<file path=xl/sharedStrings.xml><?xml version="1.0" encoding="utf-8"?>
<sst xmlns="http://schemas.openxmlformats.org/spreadsheetml/2006/main" count="1881" uniqueCount="551">
  <si>
    <t>3. Resoldar</t>
  </si>
  <si>
    <t>2. ARMAR</t>
  </si>
  <si>
    <t>CIUDAD</t>
  </si>
  <si>
    <t>Equipo</t>
  </si>
  <si>
    <t>Cod. equip.</t>
  </si>
  <si>
    <t>CLIENTE</t>
  </si>
  <si>
    <t>AVANCE:</t>
  </si>
  <si>
    <t>color</t>
  </si>
  <si>
    <t>LINEA</t>
  </si>
  <si>
    <t>VENTA Antes de Iva</t>
  </si>
  <si>
    <t>XM153</t>
  </si>
  <si>
    <t>Portadiscos</t>
  </si>
  <si>
    <t>Musculación</t>
  </si>
  <si>
    <t>XM106</t>
  </si>
  <si>
    <t>Banco olímpico declinado</t>
  </si>
  <si>
    <t>XM133</t>
  </si>
  <si>
    <t>Hiperextensor  Inclinado</t>
  </si>
  <si>
    <t>XM110</t>
  </si>
  <si>
    <t>XM113</t>
  </si>
  <si>
    <t>Crossover clásica</t>
  </si>
  <si>
    <t>XM179</t>
  </si>
  <si>
    <t>XM132</t>
  </si>
  <si>
    <t>Hiperextensor  Horizontal</t>
  </si>
  <si>
    <t>XM162</t>
  </si>
  <si>
    <t>Remo en punta</t>
  </si>
  <si>
    <t xml:space="preserve">Costo por persona </t>
  </si>
  <si>
    <t>DIA</t>
  </si>
  <si>
    <t>EMPLEADO</t>
  </si>
  <si>
    <t>Salario base</t>
  </si>
  <si>
    <t>BONIF</t>
  </si>
  <si>
    <t>Costo total</t>
  </si>
  <si>
    <t>Valor nomina PLANTA:</t>
  </si>
  <si>
    <t xml:space="preserve">Mas prestac. del :  </t>
  </si>
  <si>
    <t>Cantidad empleados planta:</t>
  </si>
  <si>
    <t>Nelly Muñoz Arias</t>
  </si>
  <si>
    <t>Ventas</t>
  </si>
  <si>
    <t>Sueldo integral promedio planta:</t>
  </si>
  <si>
    <t>Ana Maria Ramirez Torres</t>
  </si>
  <si>
    <t>Administración</t>
  </si>
  <si>
    <t>Dias laborales  en:</t>
  </si>
  <si>
    <t>Gina Lorena Lotero</t>
  </si>
  <si>
    <t>Horas laborales x persona mes promedio 2025:</t>
  </si>
  <si>
    <t>TOTAL EMPLEADOS ADM+VTAS</t>
  </si>
  <si>
    <t>Juan Felipe Martinez Aristizabal</t>
  </si>
  <si>
    <t>Armador</t>
  </si>
  <si>
    <t>Cristian Camilo Rodriguez Giraldo</t>
  </si>
  <si>
    <t>Tornero</t>
  </si>
  <si>
    <t>Luis Alfonso Betancurth Osorio</t>
  </si>
  <si>
    <t>Pintor</t>
  </si>
  <si>
    <t>Ariel Valencia Mina</t>
  </si>
  <si>
    <t>Varios</t>
  </si>
  <si>
    <t>Daniel Garcia Zaray</t>
  </si>
  <si>
    <t>Ensamblador</t>
  </si>
  <si>
    <t>Daniel Rodrigo Duque Zapata</t>
  </si>
  <si>
    <t>asist ensamble</t>
  </si>
  <si>
    <t>Jose Fernando Gaviria</t>
  </si>
  <si>
    <t>CAPACIDAD TOTAL LABORAL DE LA PLANTA EN EL MES Y CADA DIA:</t>
  </si>
  <si>
    <t>Horas día:</t>
  </si>
  <si>
    <t>TOTAL EMPLEADOS PLANTA</t>
  </si>
  <si>
    <t>Acum horas mes:</t>
  </si>
  <si>
    <t>XM161</t>
  </si>
  <si>
    <t>Rack Sentadilla</t>
  </si>
  <si>
    <t>XM181</t>
  </si>
  <si>
    <t>XM114</t>
  </si>
  <si>
    <t>Crossover Compacta</t>
  </si>
  <si>
    <t>XM126</t>
  </si>
  <si>
    <t>Hammer de Hombro</t>
  </si>
  <si>
    <t>XM188</t>
  </si>
  <si>
    <t>XM103</t>
  </si>
  <si>
    <t>XM107</t>
  </si>
  <si>
    <t>XM130</t>
  </si>
  <si>
    <t>Hammer remo</t>
  </si>
  <si>
    <t>XM115</t>
  </si>
  <si>
    <t>Dominadas y fondos</t>
  </si>
  <si>
    <t>XM104</t>
  </si>
  <si>
    <t>Banco hombro peso libre</t>
  </si>
  <si>
    <t>XM122</t>
  </si>
  <si>
    <t>Flexor de pie</t>
  </si>
  <si>
    <t>XM143</t>
  </si>
  <si>
    <t>Patada glúteo peso libre</t>
  </si>
  <si>
    <t>XM156</t>
  </si>
  <si>
    <t>Prensa 90</t>
  </si>
  <si>
    <t>XM105</t>
  </si>
  <si>
    <t>Banco Multifunción</t>
  </si>
  <si>
    <t>XM185</t>
  </si>
  <si>
    <t>XM131</t>
  </si>
  <si>
    <t>XM127</t>
  </si>
  <si>
    <t>Hammer pecho declinada</t>
  </si>
  <si>
    <t>XM121</t>
  </si>
  <si>
    <t>Flexor Acostado</t>
  </si>
  <si>
    <t>XM119</t>
  </si>
  <si>
    <t>Extensor</t>
  </si>
  <si>
    <t>XA908</t>
  </si>
  <si>
    <t>Rack para mancuernas 2 NIVELES</t>
  </si>
  <si>
    <t>XM166</t>
  </si>
  <si>
    <t>Sentadilla combinada</t>
  </si>
  <si>
    <t>XM170</t>
  </si>
  <si>
    <t>Sentadilla Smith 2.0</t>
  </si>
  <si>
    <t>XM112</t>
  </si>
  <si>
    <t>Constructor glúteo</t>
  </si>
  <si>
    <t>XM100</t>
  </si>
  <si>
    <t>Abductor Aductor</t>
  </si>
  <si>
    <t>XM116</t>
  </si>
  <si>
    <t>Elevador de pelvis</t>
  </si>
  <si>
    <t>XM108</t>
  </si>
  <si>
    <t>Banco olímpico plano</t>
  </si>
  <si>
    <t>XM109</t>
  </si>
  <si>
    <t>Banco plano peso libre</t>
  </si>
  <si>
    <t>XM129</t>
  </si>
  <si>
    <t>Hammer Pecho Plana</t>
  </si>
  <si>
    <t>XM128</t>
  </si>
  <si>
    <t>XM176</t>
  </si>
  <si>
    <t>Sentadilla con pantorrillero</t>
  </si>
  <si>
    <t>XM125</t>
  </si>
  <si>
    <t>Hammer de Espalda</t>
  </si>
  <si>
    <t>XM111</t>
  </si>
  <si>
    <t>Banco Predicador Libre</t>
  </si>
  <si>
    <t>XM120</t>
  </si>
  <si>
    <t>Flexo Extensor</t>
  </si>
  <si>
    <t>XM169</t>
  </si>
  <si>
    <t>Prensa Atletica 3.0 lineal</t>
  </si>
  <si>
    <t>XM148</t>
  </si>
  <si>
    <t>Polea Alta</t>
  </si>
  <si>
    <t>XM151</t>
  </si>
  <si>
    <t>Polea Baja 2.0</t>
  </si>
  <si>
    <t>XM145</t>
  </si>
  <si>
    <t>Peck Deck doble función</t>
  </si>
  <si>
    <t>j</t>
  </si>
  <si>
    <t>w</t>
  </si>
  <si>
    <t>m</t>
  </si>
  <si>
    <t>l</t>
  </si>
  <si>
    <t>d</t>
  </si>
  <si>
    <t>s</t>
  </si>
  <si>
    <t>v</t>
  </si>
  <si>
    <t>HORA</t>
  </si>
  <si>
    <t>XM184</t>
  </si>
  <si>
    <t>Bancos planos linea hogar</t>
  </si>
  <si>
    <t>XM140</t>
  </si>
  <si>
    <t>XM165</t>
  </si>
  <si>
    <t>XM172</t>
  </si>
  <si>
    <t>Torre auxiliar</t>
  </si>
  <si>
    <t>Laser</t>
  </si>
  <si>
    <t>Carenaje</t>
  </si>
  <si>
    <t>Placas</t>
  </si>
  <si>
    <t>Tubos</t>
  </si>
  <si>
    <t>Inox.</t>
  </si>
  <si>
    <t>Tornillos</t>
  </si>
  <si>
    <t>Pintu.</t>
  </si>
  <si>
    <t>Rodam.</t>
  </si>
  <si>
    <t>Zinc</t>
  </si>
  <si>
    <t>Torno A.</t>
  </si>
  <si>
    <t>Torno E.</t>
  </si>
  <si>
    <t>Cojines</t>
  </si>
  <si>
    <t>Estado /sitio</t>
  </si>
  <si>
    <t>XM134</t>
  </si>
  <si>
    <t>Jaula de Crossfit (Solo funcional, sin polea)</t>
  </si>
  <si>
    <t>Banco abdominal</t>
  </si>
  <si>
    <t>Banco olímpico inclinado</t>
  </si>
  <si>
    <t>Banco predicador con placas</t>
  </si>
  <si>
    <t xml:space="preserve">fondos triceps peso libre </t>
  </si>
  <si>
    <t>Hammer Pecho Inclinada</t>
  </si>
  <si>
    <t>Hammer tibia</t>
  </si>
  <si>
    <t>Jaula de Potencia para peso</t>
  </si>
  <si>
    <t>XM138</t>
  </si>
  <si>
    <t>Multifuerza 4 estaciones (Precio variable según equipos)</t>
  </si>
  <si>
    <t>XM139</t>
  </si>
  <si>
    <t>Multifuerza 8 estaciones (Precio variable según equipos)</t>
  </si>
  <si>
    <t>Pantorrillero</t>
  </si>
  <si>
    <t>Rack para mancuernas 3niveles</t>
  </si>
  <si>
    <t>Rack para mancuernas 2 niveles</t>
  </si>
  <si>
    <t>Sentadilla Bulgara</t>
  </si>
  <si>
    <t>Sentadilla Hack Up 3.0 Lineal</t>
  </si>
  <si>
    <t>Sentadilla Sissy</t>
  </si>
  <si>
    <t>XM171</t>
  </si>
  <si>
    <t>Sentadilla Smith con Poleas 2.0</t>
  </si>
  <si>
    <t>REVISADOS CON NELLY agosto 11 de 2025</t>
  </si>
  <si>
    <t>CODIGO</t>
  </si>
  <si>
    <t>Producto</t>
  </si>
  <si>
    <t>Precios antes de iva</t>
  </si>
  <si>
    <t>Abductor</t>
  </si>
  <si>
    <t>XM191</t>
  </si>
  <si>
    <t>XM160</t>
  </si>
  <si>
    <t>Aductor</t>
  </si>
  <si>
    <t>XM192</t>
  </si>
  <si>
    <t>XM187</t>
  </si>
  <si>
    <t>XM186</t>
  </si>
  <si>
    <t>XH700</t>
  </si>
  <si>
    <t>Quien:</t>
  </si>
  <si>
    <t>Germán</t>
  </si>
  <si>
    <t>PREVIOS</t>
  </si>
  <si>
    <t>1. Material</t>
  </si>
  <si>
    <t>hammer isolateral vuelos</t>
  </si>
  <si>
    <t>.</t>
  </si>
  <si>
    <t>XM194</t>
  </si>
  <si>
    <t>PE</t>
  </si>
  <si>
    <t>PROYECTO ESPECIAL</t>
  </si>
  <si>
    <t>_</t>
  </si>
  <si>
    <t>CAMPO VACIO</t>
  </si>
  <si>
    <t>Columpio doble</t>
  </si>
  <si>
    <t>Enviado</t>
  </si>
  <si>
    <t>Avance %:</t>
  </si>
  <si>
    <t>Bioparques</t>
  </si>
  <si>
    <t>Carrusel</t>
  </si>
  <si>
    <t>XM908</t>
  </si>
  <si>
    <t>XM906</t>
  </si>
  <si>
    <t>accesorio fondos para jaula</t>
  </si>
  <si>
    <t>XM909</t>
  </si>
  <si>
    <t>PIVOTE DE BARRA PARA JAULA</t>
  </si>
  <si>
    <t>XM911</t>
  </si>
  <si>
    <t>Deslizadero sencillo</t>
  </si>
  <si>
    <t>BICICLETA</t>
  </si>
  <si>
    <t>ESQUI</t>
  </si>
  <si>
    <t>EXTENSOR</t>
  </si>
  <si>
    <t>Manizales</t>
  </si>
  <si>
    <t>XJ506</t>
  </si>
  <si>
    <t>XB553</t>
  </si>
  <si>
    <t>Sube y baja Doble</t>
  </si>
  <si>
    <t>XJ504</t>
  </si>
  <si>
    <t>XJ505</t>
  </si>
  <si>
    <t>BARRAS PARALELAS</t>
  </si>
  <si>
    <t>XM195</t>
  </si>
  <si>
    <t>BANCO OLIMPICO MULTIPÓSICIÓN.</t>
  </si>
  <si>
    <t xml:space="preserve">INSTALACIÓN </t>
  </si>
  <si>
    <t>XM</t>
  </si>
  <si>
    <t>XB416</t>
  </si>
  <si>
    <t>XB425</t>
  </si>
  <si>
    <t>XB426</t>
  </si>
  <si>
    <t>XB438</t>
  </si>
  <si>
    <t>XB414</t>
  </si>
  <si>
    <t>Horas max totales a invertir:</t>
  </si>
  <si>
    <t>Horas faltantes x invertir:</t>
  </si>
  <si>
    <t>Acum. a invertir</t>
  </si>
  <si>
    <t>Santiago Cardenas</t>
  </si>
  <si>
    <t>Dominadas y fondos asistido</t>
  </si>
  <si>
    <t>santiago</t>
  </si>
  <si>
    <t>dias hom faltantes x invertir:</t>
  </si>
  <si>
    <t>Portapesos en maquina</t>
  </si>
  <si>
    <t>acce</t>
  </si>
  <si>
    <t>XJ507</t>
  </si>
  <si>
    <t>PARQUE INFANTIL #2</t>
  </si>
  <si>
    <t>Sentadilla hack up 2.0</t>
  </si>
  <si>
    <t>XM175</t>
  </si>
  <si>
    <t>Jaula de potencia</t>
  </si>
  <si>
    <t>XM167</t>
  </si>
  <si>
    <t>Sentadilla Hack Up</t>
  </si>
  <si>
    <t>XM193</t>
  </si>
  <si>
    <t>Hammer isolateral vuelos con placas</t>
  </si>
  <si>
    <t>Arrastrar</t>
  </si>
  <si>
    <t>GARANTIA 9 HORAS</t>
  </si>
  <si>
    <t>GA009</t>
  </si>
  <si>
    <t>GA018</t>
  </si>
  <si>
    <t>GARANTIA 18 HORAS</t>
  </si>
  <si>
    <t>Santiago Alejandro Cardona</t>
  </si>
  <si>
    <t>CIRCUITO DE CALISTENIA #1</t>
  </si>
  <si>
    <t>XB455</t>
  </si>
  <si>
    <t>imp.</t>
  </si>
  <si>
    <t>Carlos Ariel E</t>
  </si>
  <si>
    <t>NEGRO 100%</t>
  </si>
  <si>
    <t>YEISON BOHORQUES</t>
  </si>
  <si>
    <t>Dosquebradas</t>
  </si>
  <si>
    <t>DIA A TERMINAR:</t>
  </si>
  <si>
    <t>Ofrecido:</t>
  </si>
  <si>
    <t>Actualizado:</t>
  </si>
  <si>
    <t>grupo ignea sas</t>
  </si>
  <si>
    <t>xb455</t>
  </si>
  <si>
    <t>Pereira</t>
  </si>
  <si>
    <t>Sentadilla con discos</t>
  </si>
  <si>
    <t>EMAS</t>
  </si>
  <si>
    <t>Naranja amarillo</t>
  </si>
  <si>
    <t>DEUDA</t>
  </si>
  <si>
    <t>Sentadilla con Discos</t>
  </si>
  <si>
    <t>Press de espalda doble</t>
  </si>
  <si>
    <t>Press de Pecho Doble</t>
  </si>
  <si>
    <t>Prensa de Pierna Doble</t>
  </si>
  <si>
    <t>Press de Pecho con Discos</t>
  </si>
  <si>
    <t>INTELIGENTES S.A.S</t>
  </si>
  <si>
    <t>CINCI CONSTRUC.</t>
  </si>
  <si>
    <t>Rojo verde</t>
  </si>
  <si>
    <t>XM168</t>
  </si>
  <si>
    <t>Prensa pendular</t>
  </si>
  <si>
    <t>sentadilla Sumo</t>
  </si>
  <si>
    <t>Sentadilla Smith con poleas 3.0</t>
  </si>
  <si>
    <t>Halon de espalda con discos</t>
  </si>
  <si>
    <t>LUNES</t>
  </si>
  <si>
    <t>MARTES</t>
  </si>
  <si>
    <t>MIERCOLES</t>
  </si>
  <si>
    <t>JUEVES</t>
  </si>
  <si>
    <t>VIERNES</t>
  </si>
  <si>
    <t>4. Pulir</t>
  </si>
  <si>
    <t>5. Pintar</t>
  </si>
  <si>
    <t>6. Ensamblar</t>
  </si>
  <si>
    <t>7. Empacar</t>
  </si>
  <si>
    <t>Precio catálogo</t>
  </si>
  <si>
    <t>(ref. automática)</t>
  </si>
  <si>
    <t>COTI.</t>
  </si>
  <si>
    <t>XB400</t>
  </si>
  <si>
    <t>Banco Abdominal inclinado</t>
  </si>
  <si>
    <t>XB401</t>
  </si>
  <si>
    <t>Banco Abdominal Calistenia</t>
  </si>
  <si>
    <t>XB402</t>
  </si>
  <si>
    <t>Banco Abdominal doble</t>
  </si>
  <si>
    <t>XB403</t>
  </si>
  <si>
    <t>Banco Plano Abdominal</t>
  </si>
  <si>
    <t>XB404</t>
  </si>
  <si>
    <t>Banco Press de Hombro</t>
  </si>
  <si>
    <t>XB405</t>
  </si>
  <si>
    <t>Barra Lineal al aire libre</t>
  </si>
  <si>
    <t>XB406</t>
  </si>
  <si>
    <t>Barra paralela calistenia</t>
  </si>
  <si>
    <t>XB407</t>
  </si>
  <si>
    <t>Barra Polea Alta</t>
  </si>
  <si>
    <t>XB408</t>
  </si>
  <si>
    <t>Barras asimétricas o dominadas dobles</t>
  </si>
  <si>
    <t>XB409</t>
  </si>
  <si>
    <t>Barras Asimétricas Sencilla</t>
  </si>
  <si>
    <t>XB410</t>
  </si>
  <si>
    <t>Barras Combinadas</t>
  </si>
  <si>
    <t>XB411</t>
  </si>
  <si>
    <t>Barras Combinadas con Abdominales</t>
  </si>
  <si>
    <t>XB412</t>
  </si>
  <si>
    <t>Barras Dominadas Triangulares</t>
  </si>
  <si>
    <t>XB413</t>
  </si>
  <si>
    <t>Barras Mini Combinadas</t>
  </si>
  <si>
    <t>Barras Paralelas</t>
  </si>
  <si>
    <t>XB415</t>
  </si>
  <si>
    <t>Base Estiramiento</t>
  </si>
  <si>
    <t>Bicicleta</t>
  </si>
  <si>
    <t>XB417</t>
  </si>
  <si>
    <t>Brida Antivandalismo</t>
  </si>
  <si>
    <t>XB418</t>
  </si>
  <si>
    <t>Circuito de Calistenia</t>
  </si>
  <si>
    <t>XB419</t>
  </si>
  <si>
    <t>COLLARIN (PAR)</t>
  </si>
  <si>
    <t>XB420</t>
  </si>
  <si>
    <t>XB421</t>
  </si>
  <si>
    <t>Elevación hombro con discos</t>
  </si>
  <si>
    <t>XB422</t>
  </si>
  <si>
    <t>Eliptica</t>
  </si>
  <si>
    <t>XB423</t>
  </si>
  <si>
    <t>Escalador Doble</t>
  </si>
  <si>
    <t>XB424</t>
  </si>
  <si>
    <t>Esqui</t>
  </si>
  <si>
    <t>XB427</t>
  </si>
  <si>
    <t>Pasamanos</t>
  </si>
  <si>
    <t>XB428</t>
  </si>
  <si>
    <t>Patada Gluteo con discos</t>
  </si>
  <si>
    <t>XB429</t>
  </si>
  <si>
    <t>Placa Informativa Individual</t>
  </si>
  <si>
    <t>XB430</t>
  </si>
  <si>
    <t>Polea Alta con discos</t>
  </si>
  <si>
    <t>XB431</t>
  </si>
  <si>
    <t>Pony</t>
  </si>
  <si>
    <t>XB432</t>
  </si>
  <si>
    <t>Prensa de pierna doble</t>
  </si>
  <si>
    <t>XB433</t>
  </si>
  <si>
    <t>Prensa de pierna sencilla</t>
  </si>
  <si>
    <t>XB434</t>
  </si>
  <si>
    <t>XB435</t>
  </si>
  <si>
    <t>Press de espalda sencillo</t>
  </si>
  <si>
    <t>XB436</t>
  </si>
  <si>
    <t>Press de hombro Sencillo</t>
  </si>
  <si>
    <t>XB437</t>
  </si>
  <si>
    <t>Press de pecho con discos</t>
  </si>
  <si>
    <t>XB439</t>
  </si>
  <si>
    <t>Press de pecho sencillo</t>
  </si>
  <si>
    <t>XB440</t>
  </si>
  <si>
    <t>Press de Pierna con discos</t>
  </si>
  <si>
    <t>XB441</t>
  </si>
  <si>
    <t>Remo</t>
  </si>
  <si>
    <t>XB442</t>
  </si>
  <si>
    <t>XB443</t>
  </si>
  <si>
    <t>Timón</t>
  </si>
  <si>
    <t>XB444</t>
  </si>
  <si>
    <t>Twister</t>
  </si>
  <si>
    <t>XB445</t>
  </si>
  <si>
    <t>Vai Ven</t>
  </si>
  <si>
    <t>XB446</t>
  </si>
  <si>
    <t>Valla Informativa</t>
  </si>
  <si>
    <t>XB447</t>
  </si>
  <si>
    <t>Volante de Mano</t>
  </si>
  <si>
    <t>Xb448</t>
  </si>
  <si>
    <t>Barras asimétricas</t>
  </si>
  <si>
    <t>XB449</t>
  </si>
  <si>
    <t>XB450</t>
  </si>
  <si>
    <t>Balancín para niños</t>
  </si>
  <si>
    <t>XB451</t>
  </si>
  <si>
    <t>Columpio mixto</t>
  </si>
  <si>
    <t>XB452</t>
  </si>
  <si>
    <t>Carrusel Mixto</t>
  </si>
  <si>
    <t>XB453</t>
  </si>
  <si>
    <t>Sube y baja</t>
  </si>
  <si>
    <t>XB454</t>
  </si>
  <si>
    <t>Halon de Espalda con Discos</t>
  </si>
  <si>
    <t>constructor gluteo</t>
  </si>
  <si>
    <t>Seminario mayor</t>
  </si>
  <si>
    <t>Giovana Martinez</t>
  </si>
  <si>
    <t>Negro amarillo</t>
  </si>
  <si>
    <t>XS847</t>
  </si>
  <si>
    <t>XS846</t>
  </si>
  <si>
    <t>MANTENIMIENTO EMAS</t>
  </si>
  <si>
    <t>MANTENIMIENTO SEMAYOR</t>
  </si>
  <si>
    <t>lleno manual</t>
  </si>
  <si>
    <t>5 mar</t>
  </si>
  <si>
    <t>8 mar</t>
  </si>
  <si>
    <t>10 mar</t>
  </si>
  <si>
    <t>11 mar</t>
  </si>
  <si>
    <t>12 mar</t>
  </si>
  <si>
    <t>15 mar</t>
  </si>
  <si>
    <t>16 mar</t>
  </si>
  <si>
    <t>17 mar</t>
  </si>
  <si>
    <t>18 mar</t>
  </si>
  <si>
    <t>23 mar</t>
  </si>
  <si>
    <t>sentadilla bulgara</t>
  </si>
  <si>
    <t>xm165</t>
  </si>
  <si>
    <t>verde vitra + negro</t>
  </si>
  <si>
    <t>verde vitra</t>
  </si>
  <si>
    <t>Tunja</t>
  </si>
  <si>
    <t>Negro rojo</t>
  </si>
  <si>
    <t>Objetivo de bola pared</t>
  </si>
  <si>
    <t>Solo negro</t>
  </si>
  <si>
    <t>XC100</t>
  </si>
  <si>
    <t>tunja</t>
  </si>
  <si>
    <t>OBJETIVO DE BOLA PARED</t>
  </si>
  <si>
    <t>JOSE</t>
  </si>
  <si>
    <t>PIPE</t>
  </si>
  <si>
    <t>GERMAN</t>
  </si>
  <si>
    <t>PROPIA.</t>
  </si>
  <si>
    <t>EXISTE + SANTIAGO</t>
  </si>
  <si>
    <t>Dominadas y Fondos bio</t>
  </si>
  <si>
    <t>25 mar</t>
  </si>
  <si>
    <t>26 mar</t>
  </si>
  <si>
    <t>29 mar</t>
  </si>
  <si>
    <t>30 mar</t>
  </si>
  <si>
    <t>Patada gluteo peso libre</t>
  </si>
  <si>
    <t>Ginebra</t>
  </si>
  <si>
    <t>solo rojo</t>
  </si>
  <si>
    <t xml:space="preserve">Sentadilla Smith con poleas 2.0 </t>
  </si>
  <si>
    <t xml:space="preserve">Jaula de potencia </t>
  </si>
  <si>
    <t xml:space="preserve">Polea alta. </t>
  </si>
  <si>
    <t>CONST JYP SAS</t>
  </si>
  <si>
    <t>Alejandro Arango</t>
  </si>
  <si>
    <t>Hammer pecho plano</t>
  </si>
  <si>
    <t>x</t>
  </si>
  <si>
    <t>Accesorio fondos para jaula</t>
  </si>
  <si>
    <t>Rafael Berdella</t>
  </si>
  <si>
    <t>Cereté</t>
  </si>
  <si>
    <t>hammer pecho inclinado</t>
  </si>
  <si>
    <t>AMARILLO NEGRO</t>
  </si>
  <si>
    <t>Negra 100%</t>
  </si>
  <si>
    <t>Negra +Rojo med</t>
  </si>
  <si>
    <t>jose</t>
  </si>
  <si>
    <t>6 abr</t>
  </si>
  <si>
    <t>8 abr</t>
  </si>
  <si>
    <t>9 abr</t>
  </si>
  <si>
    <t>12 abr</t>
  </si>
  <si>
    <t>13 abr</t>
  </si>
  <si>
    <t>XM189</t>
  </si>
  <si>
    <t>Sentadilla Smith con Poleas 2.0 Peso Libre</t>
  </si>
  <si>
    <t>ANCLAR</t>
  </si>
  <si>
    <t xml:space="preserve">  </t>
  </si>
  <si>
    <t>Flexor</t>
  </si>
  <si>
    <t>banco olimpico plano</t>
  </si>
  <si>
    <t>Eliptica Bengala -  GARANTIA</t>
  </si>
  <si>
    <t>Nicolas COELLO - GARANTIA</t>
  </si>
  <si>
    <t>BOGOTA</t>
  </si>
  <si>
    <t>xb402</t>
  </si>
  <si>
    <t>xb456</t>
  </si>
  <si>
    <t>cortar tornillos</t>
  </si>
  <si>
    <t>Daniel volvio.</t>
  </si>
  <si>
    <t>DEUDA  DRA LUZ MARIA. CERVANTES</t>
  </si>
  <si>
    <t>Vacas debe sacar</t>
  </si>
  <si>
    <t>cinci</t>
  </si>
  <si>
    <t>22 abr</t>
  </si>
  <si>
    <t>27 abr</t>
  </si>
  <si>
    <t>28 abr</t>
  </si>
  <si>
    <t>Keyderson Calle</t>
  </si>
  <si>
    <t>xm185</t>
  </si>
  <si>
    <t>xm130</t>
  </si>
  <si>
    <t>xm122</t>
  </si>
  <si>
    <t>Belfan R. Landazabl</t>
  </si>
  <si>
    <t>Saravena</t>
  </si>
  <si>
    <t>negro 100%</t>
  </si>
  <si>
    <t>Ansermanuevo</t>
  </si>
  <si>
    <t>XS849</t>
  </si>
  <si>
    <t>XS850</t>
  </si>
  <si>
    <t>Circuito de calistenia #2</t>
  </si>
  <si>
    <t>EMAS - Aranjuez</t>
  </si>
  <si>
    <t>EMAS - Chachafruto</t>
  </si>
  <si>
    <t>Press de pierna sencillo</t>
  </si>
  <si>
    <t>Carlos Calderón DUCAGYM</t>
  </si>
  <si>
    <t>Pres de pecho sencillo</t>
  </si>
  <si>
    <t>Mantenimiento MAQUINA 1.</t>
  </si>
  <si>
    <t>Mantenimiento MAQUINA 2</t>
  </si>
  <si>
    <t>Mantenimiento MAQUINA 3</t>
  </si>
  <si>
    <t>Mantenimiento MAQUINA 4</t>
  </si>
  <si>
    <t>Mantenimiento MAQUINA 5</t>
  </si>
  <si>
    <t>AZUL OSCURO</t>
  </si>
  <si>
    <t>XC103</t>
  </si>
  <si>
    <t xml:space="preserve">PIVOTE DE BARRA PARA JAULA </t>
  </si>
  <si>
    <t>XC101</t>
  </si>
  <si>
    <t>Sentadilla Hack  Up  3.0 Lineal</t>
  </si>
  <si>
    <t>Construobras-Daniel Herrera</t>
  </si>
  <si>
    <t>JHON - NICOLAS</t>
  </si>
  <si>
    <t>4 may</t>
  </si>
  <si>
    <t>5 may</t>
  </si>
  <si>
    <t>6 may</t>
  </si>
  <si>
    <t>7 may</t>
  </si>
  <si>
    <t>12 may</t>
  </si>
  <si>
    <t>13 may</t>
  </si>
  <si>
    <t>14 may</t>
  </si>
  <si>
    <t>15 may</t>
  </si>
  <si>
    <t>18 may</t>
  </si>
  <si>
    <t>19 may</t>
  </si>
  <si>
    <t>MORADO NEGRO</t>
  </si>
  <si>
    <t>Ocaña</t>
  </si>
  <si>
    <t>musculación</t>
  </si>
  <si>
    <t>Diosivan Paez</t>
  </si>
  <si>
    <t>rack mancuernas 2 niveles</t>
  </si>
  <si>
    <t>10 may</t>
  </si>
  <si>
    <t>Pasamanos para parque</t>
  </si>
  <si>
    <t>XB457</t>
  </si>
  <si>
    <t>xb457</t>
  </si>
  <si>
    <t xml:space="preserve">pasamanos sencillo </t>
  </si>
  <si>
    <t>Camilo Aristizabal</t>
  </si>
  <si>
    <t>negro…parece</t>
  </si>
  <si>
    <t>PETRA proyectos y construcciones</t>
  </si>
  <si>
    <t xml:space="preserve">naraja </t>
  </si>
  <si>
    <t>xb449</t>
  </si>
  <si>
    <t>xb442</t>
  </si>
  <si>
    <t>xb437</t>
  </si>
  <si>
    <t>xb440</t>
  </si>
  <si>
    <t>xb420</t>
  </si>
  <si>
    <t>xm171</t>
  </si>
  <si>
    <t>CARTAGENA</t>
  </si>
  <si>
    <t>Consorcio del sol</t>
  </si>
  <si>
    <t>Inversiones aguas BARBOSA SAS</t>
  </si>
  <si>
    <t>25 may</t>
  </si>
  <si>
    <t>28 may</t>
  </si>
  <si>
    <t>1 jun</t>
  </si>
  <si>
    <t>29 may</t>
  </si>
  <si>
    <t>2 jun</t>
  </si>
  <si>
    <t>4 jun</t>
  </si>
  <si>
    <t>9 jun</t>
  </si>
  <si>
    <t>10 jun</t>
  </si>
  <si>
    <t>20 may</t>
  </si>
  <si>
    <t/>
  </si>
  <si>
    <t>xm148</t>
  </si>
  <si>
    <t>xm145</t>
  </si>
  <si>
    <t>Blanco y rojo</t>
  </si>
  <si>
    <t>Martha</t>
  </si>
  <si>
    <t xml:space="preserve">The Excel should serve more as a database and a reference for you to guide the PRD. I will also give it to Claude Code in its due time, so do not overemphasize the specifics; just understand what it does and how we can replicate it.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</si>
</sst>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-&quot;$&quot;\ * #,##0_-;\-&quot;$&quot;\ * #,##0_-;_-&quot;$&quot;\ * &quot;-&quot;_-;_-@_-"/>
    <numFmt numFmtId="165" formatCode="_-* #,##0.00_-;\-* #,##0.00_-;_-* &quot;-&quot;_-;_-@_-"/>
    <numFmt numFmtId="166" formatCode="#,##0_ ;[Red]\-#,##0\ "/>
    <numFmt numFmtId="167" formatCode="d\ mmm"/>
    <numFmt numFmtId="168" formatCode="&quot;$&quot;#,##0"/>
  </numFmts>
  <fonts count="5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color theme="2" tint="-0.249977111117893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8"/>
      <color theme="1"/>
      <name val="Aptos Narrow"/>
      <scheme val="minor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Aptos Narrow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color rgb="FFFF0000"/>
      <name val="Aptos Narrow"/>
      <scheme val="minor"/>
    </font>
    <font>
      <b/>
      <sz val="11"/>
      <color theme="1"/>
      <name val="Calibri"/>
      <family val="2"/>
    </font>
    <font>
      <sz val="12"/>
      <color rgb="FFFFFF00"/>
      <name val="Aptos Narrow"/>
      <scheme val="minor"/>
    </font>
    <font>
      <b/>
      <sz val="12"/>
      <color rgb="FFFFFF00"/>
      <name val="Aptos Narrow"/>
      <scheme val="minor"/>
    </font>
    <font>
      <sz val="12"/>
      <color theme="6" tint="0.59999389629810485"/>
      <name val="Aptos Narrow"/>
      <scheme val="minor"/>
    </font>
    <font>
      <b/>
      <sz val="12"/>
      <color theme="6" tint="0.59999389629810485"/>
      <name val="Aptos Narrow"/>
      <scheme val="minor"/>
    </font>
    <font>
      <b/>
      <sz val="12"/>
      <color theme="0"/>
      <name val="Aptos Narrow"/>
      <scheme val="minor"/>
    </font>
    <font>
      <b/>
      <sz val="11"/>
      <color theme="0" tint="-4.9989318521683403E-2"/>
      <name val="Aptos Narrow"/>
      <family val="2"/>
      <scheme val="minor"/>
    </font>
    <font>
      <b/>
      <sz val="12"/>
      <color theme="1"/>
      <name val="Biome"/>
    </font>
    <font>
      <b/>
      <sz val="12"/>
      <color rgb="FF00B0F0"/>
      <name val="Biome"/>
    </font>
    <font>
      <b/>
      <sz val="12"/>
      <color rgb="FFFF0000"/>
      <name val="Biome"/>
    </font>
    <font>
      <b/>
      <sz val="12"/>
      <color theme="8" tint="-0.249977111117893"/>
      <name val="Biome"/>
    </font>
    <font>
      <b/>
      <sz val="12"/>
      <color rgb="FF00B050"/>
      <name val="Biome"/>
    </font>
    <font>
      <b/>
      <sz val="12"/>
      <color rgb="FFFFAB00"/>
      <name val="Biome"/>
    </font>
    <font>
      <b/>
      <sz val="11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0000FF"/>
      <name val="Aptos Narrow"/>
      <scheme val="minor"/>
    </font>
    <font>
      <sz val="9"/>
      <color rgb="FF0000FF"/>
      <name val="Aptos Narrow"/>
      <scheme val="minor"/>
    </font>
    <font>
      <sz val="11"/>
      <color rgb="FF0000FF"/>
      <name val="Aptos Narrow"/>
      <scheme val="minor"/>
    </font>
    <font>
      <b/>
      <sz val="12"/>
      <color rgb="FF00B050"/>
      <name val="Aptos Narrow"/>
      <scheme val="minor"/>
    </font>
    <font>
      <sz val="12"/>
      <color rgb="FF00B050"/>
      <name val="Aptos Narrow"/>
      <scheme val="minor"/>
    </font>
    <font>
      <b/>
      <sz val="12"/>
      <name val="Aptos Narrow"/>
      <scheme val="minor"/>
    </font>
    <font>
      <sz val="12"/>
      <name val="Aptos Narrow"/>
      <scheme val="minor"/>
    </font>
    <font>
      <sz val="12"/>
      <color theme="0"/>
      <name val="Aptos Narrow"/>
      <family val="2"/>
      <scheme val="minor"/>
    </font>
    <font>
      <sz val="11"/>
      <color rgb="FFFF0000"/>
      <name val="Aptos Narrow"/>
      <scheme val="minor"/>
    </font>
    <font>
      <i/>
      <u val="double"/>
      <sz val="12"/>
      <color theme="1"/>
      <name val="Aptos Narrow"/>
      <scheme val="minor"/>
    </font>
    <font>
      <i/>
      <u val="double"/>
      <sz val="12"/>
      <color rgb="FFFFFF00"/>
      <name val="Aptos Narrow"/>
      <scheme val="minor"/>
    </font>
    <font>
      <b/>
      <i/>
      <u val="double"/>
      <sz val="12"/>
      <color rgb="FFFFFF00"/>
      <name val="Aptos Narrow"/>
      <scheme val="minor"/>
    </font>
    <font>
      <i/>
      <u val="double"/>
      <sz val="11"/>
      <color rgb="FF0000FF"/>
      <name val="Aptos Narrow"/>
      <scheme val="minor"/>
    </font>
    <font>
      <b/>
      <i/>
      <u val="double"/>
      <sz val="11"/>
      <color theme="0" tint="-4.9989318521683403E-2"/>
      <name val="Aptos Narrow"/>
      <scheme val="minor"/>
    </font>
    <font>
      <sz val="12"/>
      <color theme="0"/>
      <name val="Aptos Narrow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87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FA6A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AB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DF46"/>
        <bgColor rgb="FF000000"/>
      </patternFill>
    </fill>
    <fill>
      <patternFill patternType="solid">
        <fgColor rgb="FFFEDF4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5" fillId="0" borderId="0"/>
  </cellStyleXfs>
  <cellXfs count="402">
    <xf numFmtId="0" fontId="0" fillId="0" borderId="0" xfId="0"/>
    <xf numFmtId="0" fontId="3" fillId="0" borderId="0" xfId="4" applyFont="1"/>
    <xf numFmtId="0" fontId="3" fillId="8" borderId="0" xfId="4" applyFont="1" applyFill="1"/>
    <xf numFmtId="0" fontId="3" fillId="0" borderId="0" xfId="4" applyFont="1" applyAlignment="1">
      <alignment horizontal="left"/>
    </xf>
    <xf numFmtId="41" fontId="3" fillId="0" borderId="0" xfId="1" applyFont="1"/>
    <xf numFmtId="41" fontId="4" fillId="2" borderId="7" xfId="0" applyNumberFormat="1" applyFont="1" applyFill="1" applyBorder="1"/>
    <xf numFmtId="41" fontId="3" fillId="0" borderId="0" xfId="1" applyFont="1" applyFill="1"/>
    <xf numFmtId="0" fontId="0" fillId="9" borderId="0" xfId="0" applyFill="1"/>
    <xf numFmtId="1" fontId="4" fillId="0" borderId="0" xfId="0" applyNumberFormat="1" applyFont="1" applyAlignment="1">
      <alignment horizontal="center"/>
    </xf>
    <xf numFmtId="1" fontId="4" fillId="9" borderId="7" xfId="0" applyNumberFormat="1" applyFont="1" applyFill="1" applyBorder="1" applyAlignment="1">
      <alignment horizontal="center"/>
    </xf>
    <xf numFmtId="41" fontId="4" fillId="2" borderId="18" xfId="1" applyFont="1" applyFill="1" applyBorder="1" applyAlignment="1">
      <alignment horizontal="center"/>
    </xf>
    <xf numFmtId="164" fontId="4" fillId="11" borderId="15" xfId="2" applyFont="1" applyFill="1" applyBorder="1"/>
    <xf numFmtId="0" fontId="0" fillId="0" borderId="0" xfId="0" applyAlignment="1">
      <alignment horizontal="center" vertical="center"/>
    </xf>
    <xf numFmtId="41" fontId="0" fillId="0" borderId="0" xfId="1" applyFont="1"/>
    <xf numFmtId="0" fontId="3" fillId="0" borderId="13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4" borderId="0" xfId="4" applyFont="1" applyFill="1" applyAlignment="1">
      <alignment horizontal="center" vertical="center"/>
    </xf>
    <xf numFmtId="0" fontId="3" fillId="0" borderId="0" xfId="0" applyFont="1"/>
    <xf numFmtId="0" fontId="3" fillId="0" borderId="11" xfId="0" applyFont="1" applyBorder="1" applyAlignment="1">
      <alignment horizontal="left"/>
    </xf>
    <xf numFmtId="164" fontId="3" fillId="7" borderId="10" xfId="2" applyFont="1" applyFill="1" applyBorder="1"/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8" borderId="0" xfId="0" applyFont="1" applyFill="1"/>
    <xf numFmtId="0" fontId="4" fillId="10" borderId="2" xfId="4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41" fontId="3" fillId="7" borderId="15" xfId="1" applyFont="1" applyFill="1" applyBorder="1"/>
    <xf numFmtId="41" fontId="3" fillId="7" borderId="17" xfId="0" applyNumberFormat="1" applyFont="1" applyFill="1" applyBorder="1"/>
    <xf numFmtId="1" fontId="3" fillId="7" borderId="17" xfId="0" applyNumberFormat="1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2" xfId="0" applyFont="1" applyBorder="1"/>
    <xf numFmtId="0" fontId="3" fillId="2" borderId="4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3" fontId="3" fillId="2" borderId="18" xfId="0" applyNumberFormat="1" applyFont="1" applyFill="1" applyBorder="1" applyAlignment="1">
      <alignment horizontal="right" wrapText="1"/>
    </xf>
    <xf numFmtId="1" fontId="3" fillId="0" borderId="0" xfId="4" applyNumberFormat="1" applyFont="1" applyAlignment="1">
      <alignment horizontal="center"/>
    </xf>
    <xf numFmtId="0" fontId="3" fillId="8" borderId="0" xfId="4" applyFont="1" applyFill="1" applyAlignment="1">
      <alignment horizontal="center"/>
    </xf>
    <xf numFmtId="3" fontId="3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center"/>
    </xf>
    <xf numFmtId="0" fontId="4" fillId="8" borderId="4" xfId="0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wrapText="1"/>
    </xf>
    <xf numFmtId="0" fontId="4" fillId="9" borderId="7" xfId="0" applyFont="1" applyFill="1" applyBorder="1" applyAlignment="1">
      <alignment horizontal="center"/>
    </xf>
    <xf numFmtId="0" fontId="3" fillId="9" borderId="0" xfId="0" applyFont="1" applyFill="1"/>
    <xf numFmtId="0" fontId="4" fillId="8" borderId="2" xfId="4" applyFont="1" applyFill="1" applyBorder="1" applyAlignment="1">
      <alignment horizontal="left" vertical="center"/>
    </xf>
    <xf numFmtId="0" fontId="3" fillId="7" borderId="14" xfId="0" applyFont="1" applyFill="1" applyBorder="1"/>
    <xf numFmtId="0" fontId="3" fillId="7" borderId="6" xfId="0" applyFont="1" applyFill="1" applyBorder="1"/>
    <xf numFmtId="0" fontId="4" fillId="0" borderId="0" xfId="4" applyFont="1" applyAlignment="1">
      <alignment horizontal="center"/>
    </xf>
    <xf numFmtId="0" fontId="3" fillId="0" borderId="0" xfId="0" applyFont="1" applyAlignment="1">
      <alignment horizontal="right" wrapText="1"/>
    </xf>
    <xf numFmtId="0" fontId="4" fillId="0" borderId="4" xfId="0" applyFont="1" applyBorder="1" applyAlignment="1">
      <alignment horizontal="center"/>
    </xf>
    <xf numFmtId="0" fontId="10" fillId="0" borderId="0" xfId="0" applyFont="1"/>
    <xf numFmtId="0" fontId="9" fillId="0" borderId="2" xfId="0" applyFont="1" applyBorder="1"/>
    <xf numFmtId="41" fontId="0" fillId="0" borderId="0" xfId="1" applyFont="1" applyFill="1"/>
    <xf numFmtId="0" fontId="4" fillId="0" borderId="2" xfId="0" applyFont="1" applyBorder="1" applyAlignment="1">
      <alignment horizontal="center" vertical="center"/>
    </xf>
    <xf numFmtId="41" fontId="3" fillId="0" borderId="0" xfId="1" applyFont="1" applyAlignment="1">
      <alignment horizontal="center"/>
    </xf>
    <xf numFmtId="0" fontId="3" fillId="0" borderId="16" xfId="0" applyFont="1" applyBorder="1" applyAlignment="1">
      <alignment horizontal="left"/>
    </xf>
    <xf numFmtId="0" fontId="3" fillId="7" borderId="0" xfId="0" applyFont="1" applyFill="1"/>
    <xf numFmtId="0" fontId="3" fillId="0" borderId="16" xfId="4" applyFont="1" applyBorder="1" applyAlignment="1">
      <alignment horizontal="left"/>
    </xf>
    <xf numFmtId="0" fontId="3" fillId="0" borderId="11" xfId="4" applyFont="1" applyBorder="1" applyAlignment="1">
      <alignment horizontal="left"/>
    </xf>
    <xf numFmtId="9" fontId="6" fillId="0" borderId="7" xfId="3" applyFont="1" applyFill="1" applyBorder="1" applyAlignment="1">
      <alignment horizontal="left"/>
    </xf>
    <xf numFmtId="0" fontId="4" fillId="0" borderId="8" xfId="0" applyFont="1" applyBorder="1"/>
    <xf numFmtId="0" fontId="4" fillId="0" borderId="5" xfId="0" applyFont="1" applyBorder="1"/>
    <xf numFmtId="0" fontId="4" fillId="0" borderId="9" xfId="0" applyFont="1" applyBorder="1"/>
    <xf numFmtId="0" fontId="10" fillId="0" borderId="0" xfId="0" applyFont="1" applyAlignment="1">
      <alignment horizontal="center"/>
    </xf>
    <xf numFmtId="0" fontId="12" fillId="6" borderId="12" xfId="5" applyFont="1" applyFill="1" applyBorder="1" applyAlignment="1">
      <alignment horizontal="center" vertical="center"/>
    </xf>
    <xf numFmtId="41" fontId="12" fillId="6" borderId="12" xfId="1" applyFont="1" applyFill="1" applyBorder="1" applyAlignment="1">
      <alignment horizontal="center" vertical="center" wrapText="1"/>
    </xf>
    <xf numFmtId="41" fontId="12" fillId="6" borderId="12" xfId="1" applyFont="1" applyFill="1" applyBorder="1" applyAlignment="1">
      <alignment horizontal="left" vertical="center" wrapText="1"/>
    </xf>
    <xf numFmtId="0" fontId="13" fillId="13" borderId="0" xfId="0" applyFont="1" applyFill="1" applyAlignment="1">
      <alignment horizontal="center" vertical="center" wrapText="1"/>
    </xf>
    <xf numFmtId="9" fontId="10" fillId="9" borderId="0" xfId="3" applyFont="1" applyFill="1" applyAlignment="1">
      <alignment horizontal="center"/>
    </xf>
    <xf numFmtId="41" fontId="14" fillId="2" borderId="0" xfId="1" applyFont="1" applyFill="1" applyBorder="1" applyAlignment="1">
      <alignment horizontal="center"/>
    </xf>
    <xf numFmtId="41" fontId="10" fillId="0" borderId="0" xfId="4" applyNumberFormat="1" applyFont="1" applyAlignment="1">
      <alignment horizontal="center"/>
    </xf>
    <xf numFmtId="0" fontId="13" fillId="0" borderId="0" xfId="0" applyFont="1" applyAlignment="1">
      <alignment horizontal="center"/>
    </xf>
    <xf numFmtId="41" fontId="3" fillId="0" borderId="0" xfId="1" applyFont="1" applyFill="1" applyAlignment="1">
      <alignment horizontal="center"/>
    </xf>
    <xf numFmtId="1" fontId="3" fillId="9" borderId="0" xfId="4" applyNumberFormat="1" applyFont="1" applyFill="1" applyAlignment="1">
      <alignment horizontal="center"/>
    </xf>
    <xf numFmtId="0" fontId="1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9" fontId="12" fillId="12" borderId="12" xfId="3" applyFont="1" applyFill="1" applyBorder="1" applyAlignment="1">
      <alignment horizontal="center" vertical="top" wrapText="1"/>
    </xf>
    <xf numFmtId="0" fontId="16" fillId="0" borderId="3" xfId="5" applyFont="1" applyBorder="1" applyAlignment="1">
      <alignment horizontal="center" vertical="top" wrapText="1"/>
    </xf>
    <xf numFmtId="0" fontId="12" fillId="6" borderId="3" xfId="5" applyFont="1" applyFill="1" applyBorder="1" applyAlignment="1">
      <alignment horizontal="center" vertical="top" wrapText="1"/>
    </xf>
    <xf numFmtId="0" fontId="10" fillId="0" borderId="2" xfId="0" applyFont="1" applyBorder="1"/>
    <xf numFmtId="41" fontId="3" fillId="0" borderId="2" xfId="1" applyFont="1" applyBorder="1" applyAlignment="1">
      <alignment horizontal="right" wrapText="1"/>
    </xf>
    <xf numFmtId="41" fontId="3" fillId="0" borderId="1" xfId="1" applyFont="1" applyBorder="1" applyAlignment="1">
      <alignment horizontal="right" wrapText="1"/>
    </xf>
    <xf numFmtId="41" fontId="3" fillId="2" borderId="18" xfId="1" applyFont="1" applyFill="1" applyBorder="1" applyAlignment="1">
      <alignment horizontal="right" wrapText="1"/>
    </xf>
    <xf numFmtId="41" fontId="4" fillId="2" borderId="7" xfId="1" applyFont="1" applyFill="1" applyBorder="1"/>
    <xf numFmtId="41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8" xfId="4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41" fontId="3" fillId="0" borderId="2" xfId="1" applyFont="1" applyFill="1" applyBorder="1" applyAlignment="1">
      <alignment horizontal="right" wrapText="1"/>
    </xf>
    <xf numFmtId="0" fontId="4" fillId="0" borderId="21" xfId="4" applyFont="1" applyBorder="1" applyAlignment="1">
      <alignment horizontal="left" vertical="center"/>
    </xf>
    <xf numFmtId="9" fontId="13" fillId="0" borderId="0" xfId="0" applyNumberFormat="1" applyFont="1"/>
    <xf numFmtId="41" fontId="12" fillId="6" borderId="12" xfId="1" applyFont="1" applyFill="1" applyBorder="1" applyAlignment="1">
      <alignment vertical="center" wrapText="1"/>
    </xf>
    <xf numFmtId="41" fontId="14" fillId="2" borderId="0" xfId="1" applyFont="1" applyFill="1" applyBorder="1" applyAlignment="1"/>
    <xf numFmtId="0" fontId="0" fillId="0" borderId="0" xfId="0" applyAlignment="1">
      <alignment horizontal="center"/>
    </xf>
    <xf numFmtId="9" fontId="13" fillId="14" borderId="7" xfId="0" applyNumberFormat="1" applyFont="1" applyFill="1" applyBorder="1" applyAlignment="1">
      <alignment horizontal="center"/>
    </xf>
    <xf numFmtId="41" fontId="3" fillId="3" borderId="0" xfId="1" applyFont="1" applyFill="1"/>
    <xf numFmtId="41" fontId="8" fillId="0" borderId="0" xfId="1" applyFont="1" applyFill="1"/>
    <xf numFmtId="41" fontId="3" fillId="3" borderId="2" xfId="1" applyFont="1" applyFill="1" applyBorder="1" applyAlignment="1">
      <alignment horizontal="right" wrapText="1"/>
    </xf>
    <xf numFmtId="0" fontId="4" fillId="3" borderId="6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3" fillId="0" borderId="3" xfId="0" applyFont="1" applyBorder="1"/>
    <xf numFmtId="0" fontId="4" fillId="9" borderId="2" xfId="0" applyFont="1" applyFill="1" applyBorder="1" applyAlignment="1">
      <alignment horizontal="center" vertical="center"/>
    </xf>
    <xf numFmtId="1" fontId="11" fillId="0" borderId="22" xfId="3" applyNumberFormat="1" applyFont="1" applyFill="1" applyBorder="1" applyAlignment="1">
      <alignment horizontal="center"/>
    </xf>
    <xf numFmtId="9" fontId="7" fillId="0" borderId="0" xfId="3" applyFont="1" applyFill="1" applyBorder="1" applyAlignment="1">
      <alignment horizontal="center" vertical="center" wrapText="1"/>
    </xf>
    <xf numFmtId="0" fontId="0" fillId="9" borderId="2" xfId="0" applyFill="1" applyBorder="1"/>
    <xf numFmtId="41" fontId="20" fillId="0" borderId="0" xfId="1" applyFont="1"/>
    <xf numFmtId="41" fontId="19" fillId="0" borderId="0" xfId="1" applyFont="1"/>
    <xf numFmtId="0" fontId="10" fillId="15" borderId="0" xfId="0" applyFont="1" applyFill="1" applyAlignment="1">
      <alignment horizontal="left"/>
    </xf>
    <xf numFmtId="0" fontId="12" fillId="15" borderId="0" xfId="0" applyFont="1" applyFill="1" applyAlignment="1">
      <alignment horizontal="left"/>
    </xf>
    <xf numFmtId="0" fontId="13" fillId="10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/>
    </xf>
    <xf numFmtId="0" fontId="10" fillId="10" borderId="0" xfId="0" applyFont="1" applyFill="1"/>
    <xf numFmtId="0" fontId="13" fillId="0" borderId="0" xfId="0" applyFont="1"/>
    <xf numFmtId="1" fontId="21" fillId="10" borderId="0" xfId="4" applyNumberFormat="1" applyFont="1" applyFill="1" applyAlignment="1">
      <alignment horizontal="center"/>
    </xf>
    <xf numFmtId="9" fontId="10" fillId="9" borderId="6" xfId="3" applyFont="1" applyFill="1" applyBorder="1" applyAlignment="1">
      <alignment horizontal="center"/>
    </xf>
    <xf numFmtId="41" fontId="14" fillId="2" borderId="6" xfId="1" applyFont="1" applyFill="1" applyBorder="1" applyAlignment="1">
      <alignment horizontal="center"/>
    </xf>
    <xf numFmtId="41" fontId="14" fillId="2" borderId="6" xfId="1" applyFont="1" applyFill="1" applyBorder="1" applyAlignment="1"/>
    <xf numFmtId="0" fontId="0" fillId="0" borderId="2" xfId="0" applyBorder="1"/>
    <xf numFmtId="165" fontId="14" fillId="2" borderId="0" xfId="1" applyNumberFormat="1" applyFont="1" applyFill="1" applyBorder="1" applyAlignment="1"/>
    <xf numFmtId="165" fontId="14" fillId="2" borderId="6" xfId="1" applyNumberFormat="1" applyFont="1" applyFill="1" applyBorder="1" applyAlignment="1"/>
    <xf numFmtId="0" fontId="18" fillId="0" borderId="1" xfId="0" applyFont="1" applyBorder="1"/>
    <xf numFmtId="166" fontId="0" fillId="0" borderId="0" xfId="2" applyNumberFormat="1" applyFont="1" applyFill="1"/>
    <xf numFmtId="166" fontId="4" fillId="0" borderId="19" xfId="2" applyNumberFormat="1" applyFont="1" applyFill="1" applyBorder="1" applyAlignment="1">
      <alignment horizontal="center" vertical="center" wrapText="1"/>
    </xf>
    <xf numFmtId="166" fontId="10" fillId="0" borderId="0" xfId="2" applyNumberFormat="1" applyFont="1" applyFill="1"/>
    <xf numFmtId="0" fontId="13" fillId="10" borderId="0" xfId="0" applyFont="1" applyFill="1" applyAlignment="1">
      <alignment vertical="center" wrapText="1"/>
    </xf>
    <xf numFmtId="1" fontId="10" fillId="10" borderId="0" xfId="0" applyNumberFormat="1" applyFont="1" applyFill="1" applyAlignment="1">
      <alignment horizontal="center" vertical="center"/>
    </xf>
    <xf numFmtId="1" fontId="10" fillId="10" borderId="6" xfId="0" applyNumberFormat="1" applyFont="1" applyFill="1" applyBorder="1" applyAlignment="1">
      <alignment horizontal="center" vertical="center"/>
    </xf>
    <xf numFmtId="0" fontId="25" fillId="16" borderId="0" xfId="0" applyFont="1" applyFill="1" applyAlignment="1">
      <alignment horizontal="center"/>
    </xf>
    <xf numFmtId="0" fontId="25" fillId="16" borderId="6" xfId="0" applyFont="1" applyFill="1" applyBorder="1" applyAlignment="1">
      <alignment horizontal="center"/>
    </xf>
    <xf numFmtId="0" fontId="24" fillId="15" borderId="0" xfId="0" applyFont="1" applyFill="1" applyAlignment="1">
      <alignment horizontal="left"/>
    </xf>
    <xf numFmtId="0" fontId="25" fillId="16" borderId="0" xfId="0" applyFont="1" applyFill="1"/>
    <xf numFmtId="41" fontId="25" fillId="16" borderId="0" xfId="1" applyFont="1" applyFill="1"/>
    <xf numFmtId="164" fontId="25" fillId="16" borderId="0" xfId="2" applyFont="1" applyFill="1"/>
    <xf numFmtId="0" fontId="28" fillId="8" borderId="0" xfId="4" applyFont="1" applyFill="1" applyAlignment="1">
      <alignment horizontal="center"/>
    </xf>
    <xf numFmtId="0" fontId="28" fillId="8" borderId="0" xfId="0" applyFont="1" applyFill="1" applyAlignment="1">
      <alignment horizontal="center"/>
    </xf>
    <xf numFmtId="0" fontId="28" fillId="8" borderId="0" xfId="4" applyFont="1" applyFill="1"/>
    <xf numFmtId="0" fontId="28" fillId="8" borderId="0" xfId="0" applyFont="1" applyFill="1"/>
    <xf numFmtId="0" fontId="18" fillId="0" borderId="23" xfId="0" applyFont="1" applyBorder="1"/>
    <xf numFmtId="0" fontId="24" fillId="15" borderId="6" xfId="0" applyFont="1" applyFill="1" applyBorder="1" applyAlignment="1">
      <alignment horizontal="left"/>
    </xf>
    <xf numFmtId="0" fontId="25" fillId="16" borderId="6" xfId="0" applyFont="1" applyFill="1" applyBorder="1"/>
    <xf numFmtId="41" fontId="25" fillId="16" borderId="6" xfId="1" applyFont="1" applyFill="1" applyBorder="1"/>
    <xf numFmtId="41" fontId="10" fillId="0" borderId="6" xfId="4" applyNumberFormat="1" applyFont="1" applyBorder="1" applyAlignment="1">
      <alignment horizontal="center"/>
    </xf>
    <xf numFmtId="0" fontId="18" fillId="0" borderId="4" xfId="0" applyFont="1" applyBorder="1"/>
    <xf numFmtId="41" fontId="14" fillId="2" borderId="5" xfId="1" applyFont="1" applyFill="1" applyBorder="1" applyAlignment="1">
      <alignment horizontal="center"/>
    </xf>
    <xf numFmtId="41" fontId="14" fillId="2" borderId="5" xfId="1" applyFont="1" applyFill="1" applyBorder="1" applyAlignment="1"/>
    <xf numFmtId="165" fontId="14" fillId="2" borderId="5" xfId="1" applyNumberFormat="1" applyFont="1" applyFill="1" applyBorder="1" applyAlignment="1"/>
    <xf numFmtId="164" fontId="13" fillId="0" borderId="0" xfId="2" applyFont="1" applyAlignment="1">
      <alignment horizontal="center"/>
    </xf>
    <xf numFmtId="164" fontId="10" fillId="0" borderId="0" xfId="2" applyFont="1"/>
    <xf numFmtId="164" fontId="28" fillId="8" borderId="0" xfId="2" applyFont="1" applyFill="1"/>
    <xf numFmtId="164" fontId="25" fillId="16" borderId="6" xfId="2" applyFont="1" applyFill="1" applyBorder="1"/>
    <xf numFmtId="1" fontId="29" fillId="2" borderId="20" xfId="3" applyNumberFormat="1" applyFont="1" applyFill="1" applyBorder="1" applyAlignment="1">
      <alignment horizontal="center"/>
    </xf>
    <xf numFmtId="1" fontId="29" fillId="2" borderId="25" xfId="3" applyNumberFormat="1" applyFont="1" applyFill="1" applyBorder="1" applyAlignment="1">
      <alignment horizontal="center"/>
    </xf>
    <xf numFmtId="0" fontId="30" fillId="2" borderId="5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horizontal="center" vertical="center"/>
    </xf>
    <xf numFmtId="0" fontId="34" fillId="2" borderId="9" xfId="0" applyFont="1" applyFill="1" applyBorder="1" applyAlignment="1">
      <alignment horizontal="center" vertical="center"/>
    </xf>
    <xf numFmtId="0" fontId="10" fillId="0" borderId="1" xfId="0" applyFont="1" applyBorder="1"/>
    <xf numFmtId="1" fontId="29" fillId="2" borderId="27" xfId="3" applyNumberFormat="1" applyFont="1" applyFill="1" applyBorder="1" applyAlignment="1">
      <alignment horizontal="center"/>
    </xf>
    <xf numFmtId="1" fontId="11" fillId="0" borderId="10" xfId="3" applyNumberFormat="1" applyFont="1" applyFill="1" applyBorder="1" applyAlignment="1">
      <alignment horizontal="center"/>
    </xf>
    <xf numFmtId="0" fontId="13" fillId="0" borderId="1" xfId="0" applyFont="1" applyBorder="1"/>
    <xf numFmtId="0" fontId="28" fillId="8" borderId="6" xfId="4" applyFont="1" applyFill="1" applyBorder="1" applyAlignment="1">
      <alignment horizontal="center"/>
    </xf>
    <xf numFmtId="0" fontId="28" fillId="8" borderId="6" xfId="0" applyFont="1" applyFill="1" applyBorder="1" applyAlignment="1">
      <alignment horizontal="center"/>
    </xf>
    <xf numFmtId="0" fontId="28" fillId="8" borderId="6" xfId="4" applyFont="1" applyFill="1" applyBorder="1"/>
    <xf numFmtId="0" fontId="28" fillId="8" borderId="6" xfId="0" applyFont="1" applyFill="1" applyBorder="1"/>
    <xf numFmtId="164" fontId="28" fillId="8" borderId="6" xfId="2" applyFont="1" applyFill="1" applyBorder="1"/>
    <xf numFmtId="0" fontId="13" fillId="0" borderId="24" xfId="0" applyFont="1" applyBorder="1"/>
    <xf numFmtId="0" fontId="13" fillId="15" borderId="6" xfId="0" applyFont="1" applyFill="1" applyBorder="1" applyAlignment="1">
      <alignment horizontal="left"/>
    </xf>
    <xf numFmtId="1" fontId="10" fillId="10" borderId="5" xfId="0" applyNumberFormat="1" applyFont="1" applyFill="1" applyBorder="1" applyAlignment="1">
      <alignment horizontal="center" vertical="center"/>
    </xf>
    <xf numFmtId="1" fontId="29" fillId="2" borderId="26" xfId="3" applyNumberFormat="1" applyFont="1" applyFill="1" applyBorder="1" applyAlignment="1">
      <alignment horizontal="center"/>
    </xf>
    <xf numFmtId="0" fontId="13" fillId="15" borderId="5" xfId="0" applyFont="1" applyFill="1" applyBorder="1" applyAlignment="1">
      <alignment horizontal="left"/>
    </xf>
    <xf numFmtId="0" fontId="28" fillId="8" borderId="5" xfId="4" applyFont="1" applyFill="1" applyBorder="1" applyAlignment="1">
      <alignment horizontal="center"/>
    </xf>
    <xf numFmtId="0" fontId="28" fillId="8" borderId="5" xfId="0" applyFont="1" applyFill="1" applyBorder="1" applyAlignment="1">
      <alignment horizontal="center"/>
    </xf>
    <xf numFmtId="0" fontId="28" fillId="8" borderId="5" xfId="4" applyFont="1" applyFill="1" applyBorder="1"/>
    <xf numFmtId="0" fontId="28" fillId="8" borderId="5" xfId="0" applyFont="1" applyFill="1" applyBorder="1"/>
    <xf numFmtId="164" fontId="28" fillId="8" borderId="5" xfId="2" applyFont="1" applyFill="1" applyBorder="1"/>
    <xf numFmtId="0" fontId="13" fillId="0" borderId="4" xfId="0" applyFont="1" applyBorder="1"/>
    <xf numFmtId="0" fontId="13" fillId="0" borderId="0" xfId="0" applyFont="1" applyAlignment="1">
      <alignment horizontal="left" vertical="top"/>
    </xf>
    <xf numFmtId="0" fontId="36" fillId="0" borderId="1" xfId="0" applyFont="1" applyBorder="1"/>
    <xf numFmtId="0" fontId="12" fillId="18" borderId="3" xfId="5" applyFont="1" applyFill="1" applyBorder="1" applyAlignment="1">
      <alignment horizontal="center" vertical="top" wrapText="1"/>
    </xf>
    <xf numFmtId="0" fontId="12" fillId="19" borderId="3" xfId="5" applyFont="1" applyFill="1" applyBorder="1" applyAlignment="1">
      <alignment horizontal="center" vertical="top" wrapText="1"/>
    </xf>
    <xf numFmtId="0" fontId="12" fillId="18" borderId="12" xfId="5" applyFont="1" applyFill="1" applyBorder="1" applyAlignment="1">
      <alignment horizontal="center" vertical="top" wrapText="1"/>
    </xf>
    <xf numFmtId="0" fontId="12" fillId="18" borderId="12" xfId="5" applyFont="1" applyFill="1" applyBorder="1" applyAlignment="1">
      <alignment horizontal="center" vertical="center" wrapText="1"/>
    </xf>
    <xf numFmtId="164" fontId="12" fillId="18" borderId="12" xfId="2" applyFont="1" applyFill="1" applyBorder="1" applyAlignment="1">
      <alignment horizontal="center" vertical="center" wrapText="1"/>
    </xf>
    <xf numFmtId="0" fontId="37" fillId="20" borderId="8" xfId="0" applyFont="1" applyFill="1" applyBorder="1" applyAlignment="1">
      <alignment horizontal="center" vertical="center" wrapText="1"/>
    </xf>
    <xf numFmtId="0" fontId="37" fillId="20" borderId="7" xfId="0" applyFont="1" applyFill="1" applyBorder="1" applyAlignment="1">
      <alignment horizontal="center" vertical="center" wrapText="1"/>
    </xf>
    <xf numFmtId="167" fontId="0" fillId="0" borderId="0" xfId="0" applyNumberFormat="1"/>
    <xf numFmtId="0" fontId="39" fillId="21" borderId="0" xfId="0" applyFont="1" applyFill="1" applyAlignment="1">
      <alignment horizontal="center"/>
    </xf>
    <xf numFmtId="0" fontId="10" fillId="21" borderId="0" xfId="0" applyFont="1" applyFill="1"/>
    <xf numFmtId="41" fontId="40" fillId="21" borderId="0" xfId="1" applyFont="1" applyFill="1" applyAlignment="1">
      <alignment horizontal="center" vertical="center"/>
    </xf>
    <xf numFmtId="168" fontId="41" fillId="21" borderId="0" xfId="1" applyNumberFormat="1" applyFont="1" applyFill="1" applyBorder="1" applyAlignment="1">
      <alignment horizontal="center"/>
    </xf>
    <xf numFmtId="1" fontId="38" fillId="10" borderId="20" xfId="3" applyNumberFormat="1" applyFont="1" applyFill="1" applyBorder="1" applyAlignment="1">
      <alignment horizontal="center"/>
    </xf>
    <xf numFmtId="0" fontId="23" fillId="0" borderId="0" xfId="0" applyFont="1"/>
    <xf numFmtId="0" fontId="8" fillId="0" borderId="0" xfId="0" applyFont="1"/>
    <xf numFmtId="0" fontId="13" fillId="3" borderId="0" xfId="0" applyFont="1" applyFill="1" applyAlignment="1">
      <alignment horizontal="center" vertical="center" wrapText="1"/>
    </xf>
    <xf numFmtId="1" fontId="11" fillId="14" borderId="9" xfId="3" applyNumberFormat="1" applyFont="1" applyFill="1" applyBorder="1" applyAlignment="1">
      <alignment horizontal="center"/>
    </xf>
    <xf numFmtId="9" fontId="10" fillId="10" borderId="0" xfId="3" applyFont="1" applyFill="1" applyAlignment="1">
      <alignment horizontal="center"/>
    </xf>
    <xf numFmtId="9" fontId="10" fillId="10" borderId="6" xfId="3" applyFont="1" applyFill="1" applyBorder="1" applyAlignment="1">
      <alignment horizontal="center"/>
    </xf>
    <xf numFmtId="9" fontId="10" fillId="10" borderId="5" xfId="3" applyFont="1" applyFill="1" applyBorder="1" applyAlignment="1">
      <alignment horizontal="center"/>
    </xf>
    <xf numFmtId="0" fontId="42" fillId="3" borderId="0" xfId="0" applyFont="1" applyFill="1"/>
    <xf numFmtId="164" fontId="43" fillId="3" borderId="0" xfId="2" applyFont="1" applyFill="1"/>
    <xf numFmtId="0" fontId="13" fillId="3" borderId="0" xfId="0" applyFont="1" applyFill="1"/>
    <xf numFmtId="164" fontId="10" fillId="3" borderId="0" xfId="2" applyFont="1" applyFill="1"/>
    <xf numFmtId="0" fontId="45" fillId="0" borderId="0" xfId="0" applyFont="1"/>
    <xf numFmtId="41" fontId="45" fillId="0" borderId="0" xfId="1" applyFont="1" applyFill="1"/>
    <xf numFmtId="164" fontId="45" fillId="0" borderId="0" xfId="2" applyFont="1" applyFill="1"/>
    <xf numFmtId="0" fontId="44" fillId="0" borderId="0" xfId="0" applyFont="1"/>
    <xf numFmtId="0" fontId="44" fillId="0" borderId="0" xfId="0" applyFont="1" applyAlignment="1">
      <alignment horizontal="center"/>
    </xf>
    <xf numFmtId="0" fontId="10" fillId="0" borderId="3" xfId="0" applyFont="1" applyBorder="1"/>
    <xf numFmtId="0" fontId="36" fillId="0" borderId="23" xfId="0" applyFont="1" applyBorder="1"/>
    <xf numFmtId="9" fontId="36" fillId="0" borderId="23" xfId="0" applyNumberFormat="1" applyFont="1" applyBorder="1"/>
    <xf numFmtId="0" fontId="36" fillId="0" borderId="4" xfId="0" applyFont="1" applyBorder="1"/>
    <xf numFmtId="9" fontId="36" fillId="0" borderId="1" xfId="0" applyNumberFormat="1" applyFont="1" applyBorder="1"/>
    <xf numFmtId="0" fontId="13" fillId="0" borderId="19" xfId="0" applyFont="1" applyBorder="1"/>
    <xf numFmtId="0" fontId="9" fillId="0" borderId="0" xfId="0" applyFont="1"/>
    <xf numFmtId="1" fontId="11" fillId="0" borderId="2" xfId="3" applyNumberFormat="1" applyFont="1" applyFill="1" applyBorder="1" applyAlignment="1">
      <alignment horizontal="center"/>
    </xf>
    <xf numFmtId="0" fontId="10" fillId="0" borderId="6" xfId="0" applyFont="1" applyBorder="1"/>
    <xf numFmtId="0" fontId="10" fillId="15" borderId="6" xfId="0" applyFont="1" applyFill="1" applyBorder="1" applyAlignment="1">
      <alignment horizontal="left"/>
    </xf>
    <xf numFmtId="0" fontId="45" fillId="0" borderId="6" xfId="0" applyFont="1" applyBorder="1"/>
    <xf numFmtId="0" fontId="0" fillId="0" borderId="6" xfId="0" applyBorder="1"/>
    <xf numFmtId="168" fontId="41" fillId="21" borderId="6" xfId="1" applyNumberFormat="1" applyFont="1" applyFill="1" applyBorder="1" applyAlignment="1">
      <alignment horizontal="center"/>
    </xf>
    <xf numFmtId="0" fontId="36" fillId="0" borderId="29" xfId="0" applyFont="1" applyBorder="1"/>
    <xf numFmtId="0" fontId="18" fillId="0" borderId="29" xfId="0" applyFont="1" applyBorder="1"/>
    <xf numFmtId="0" fontId="10" fillId="22" borderId="2" xfId="0" applyFont="1" applyFill="1" applyBorder="1"/>
    <xf numFmtId="0" fontId="10" fillId="22" borderId="0" xfId="0" applyFont="1" applyFill="1"/>
    <xf numFmtId="1" fontId="11" fillId="0" borderId="1" xfId="3" applyNumberFormat="1" applyFont="1" applyFill="1" applyBorder="1" applyAlignment="1">
      <alignment horizontal="center"/>
    </xf>
    <xf numFmtId="1" fontId="11" fillId="0" borderId="24" xfId="3" applyNumberFormat="1" applyFont="1" applyFill="1" applyBorder="1" applyAlignment="1">
      <alignment horizontal="center"/>
    </xf>
    <xf numFmtId="41" fontId="45" fillId="0" borderId="0" xfId="1" applyFont="1" applyFill="1" applyBorder="1"/>
    <xf numFmtId="0" fontId="10" fillId="22" borderId="24" xfId="0" applyFont="1" applyFill="1" applyBorder="1"/>
    <xf numFmtId="1" fontId="21" fillId="10" borderId="6" xfId="4" applyNumberFormat="1" applyFont="1" applyFill="1" applyBorder="1" applyAlignment="1">
      <alignment horizontal="center"/>
    </xf>
    <xf numFmtId="1" fontId="38" fillId="10" borderId="28" xfId="3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22" borderId="6" xfId="0" applyFont="1" applyFill="1" applyBorder="1"/>
    <xf numFmtId="41" fontId="45" fillId="0" borderId="6" xfId="1" applyFont="1" applyFill="1" applyBorder="1"/>
    <xf numFmtId="164" fontId="10" fillId="0" borderId="6" xfId="2" applyFont="1" applyBorder="1"/>
    <xf numFmtId="0" fontId="13" fillId="0" borderId="6" xfId="0" applyFont="1" applyBorder="1"/>
    <xf numFmtId="0" fontId="42" fillId="3" borderId="6" xfId="0" applyFont="1" applyFill="1" applyBorder="1"/>
    <xf numFmtId="164" fontId="43" fillId="3" borderId="6" xfId="2" applyFont="1" applyFill="1" applyBorder="1"/>
    <xf numFmtId="0" fontId="3" fillId="0" borderId="0" xfId="4" applyFont="1" applyAlignment="1">
      <alignment horizontal="center"/>
    </xf>
    <xf numFmtId="0" fontId="13" fillId="9" borderId="7" xfId="0" applyFont="1" applyFill="1" applyBorder="1" applyAlignment="1">
      <alignment horizontal="center" vertical="center"/>
    </xf>
    <xf numFmtId="9" fontId="6" fillId="0" borderId="15" xfId="3" applyFont="1" applyFill="1" applyBorder="1" applyAlignment="1">
      <alignment horizontal="left" vertical="top"/>
    </xf>
    <xf numFmtId="9" fontId="6" fillId="0" borderId="14" xfId="3" applyFont="1" applyFill="1" applyBorder="1" applyAlignment="1">
      <alignment horizontal="left" vertical="top"/>
    </xf>
    <xf numFmtId="9" fontId="6" fillId="0" borderId="13" xfId="3" applyFont="1" applyFill="1" applyBorder="1" applyAlignment="1">
      <alignment horizontal="left" vertical="top"/>
    </xf>
    <xf numFmtId="9" fontId="6" fillId="0" borderId="30" xfId="3" applyFont="1" applyFill="1" applyBorder="1" applyAlignment="1">
      <alignment horizontal="left" vertical="top"/>
    </xf>
    <xf numFmtId="0" fontId="36" fillId="0" borderId="2" xfId="0" applyFont="1" applyBorder="1"/>
    <xf numFmtId="0" fontId="18" fillId="0" borderId="2" xfId="0" applyFont="1" applyBorder="1"/>
    <xf numFmtId="9" fontId="10" fillId="9" borderId="2" xfId="3" applyFont="1" applyFill="1" applyBorder="1" applyAlignment="1">
      <alignment horizontal="center"/>
    </xf>
    <xf numFmtId="168" fontId="41" fillId="21" borderId="2" xfId="1" applyNumberFormat="1" applyFont="1" applyFill="1" applyBorder="1" applyAlignment="1">
      <alignment horizontal="center"/>
    </xf>
    <xf numFmtId="41" fontId="14" fillId="2" borderId="2" xfId="1" applyFont="1" applyFill="1" applyBorder="1" applyAlignment="1"/>
    <xf numFmtId="1" fontId="21" fillId="10" borderId="2" xfId="4" applyNumberFormat="1" applyFont="1" applyFill="1" applyBorder="1" applyAlignment="1">
      <alignment horizontal="center"/>
    </xf>
    <xf numFmtId="1" fontId="29" fillId="2" borderId="2" xfId="3" applyNumberFormat="1" applyFont="1" applyFill="1" applyBorder="1" applyAlignment="1">
      <alignment horizontal="center"/>
    </xf>
    <xf numFmtId="0" fontId="21" fillId="8" borderId="2" xfId="0" applyFont="1" applyFill="1" applyBorder="1" applyAlignment="1">
      <alignment horizontal="center"/>
    </xf>
    <xf numFmtId="41" fontId="22" fillId="8" borderId="2" xfId="1" applyFont="1" applyFill="1" applyBorder="1"/>
    <xf numFmtId="0" fontId="21" fillId="8" borderId="2" xfId="0" applyFont="1" applyFill="1" applyBorder="1"/>
    <xf numFmtId="0" fontId="22" fillId="8" borderId="2" xfId="0" applyFont="1" applyFill="1" applyBorder="1"/>
    <xf numFmtId="164" fontId="22" fillId="8" borderId="2" xfId="2" applyFont="1" applyFill="1" applyBorder="1"/>
    <xf numFmtId="0" fontId="13" fillId="0" borderId="2" xfId="0" applyFont="1" applyBorder="1"/>
    <xf numFmtId="164" fontId="0" fillId="0" borderId="2" xfId="2" applyFont="1" applyBorder="1"/>
    <xf numFmtId="0" fontId="25" fillId="8" borderId="2" xfId="0" applyFont="1" applyFill="1" applyBorder="1" applyAlignment="1">
      <alignment horizontal="center"/>
    </xf>
    <xf numFmtId="41" fontId="24" fillId="8" borderId="2" xfId="1" applyFont="1" applyFill="1" applyBorder="1"/>
    <xf numFmtId="0" fontId="25" fillId="8" borderId="2" xfId="0" applyFont="1" applyFill="1" applyBorder="1"/>
    <xf numFmtId="0" fontId="24" fillId="8" borderId="2" xfId="0" applyFont="1" applyFill="1" applyBorder="1"/>
    <xf numFmtId="164" fontId="24" fillId="8" borderId="2" xfId="2" applyFont="1" applyFill="1" applyBorder="1"/>
    <xf numFmtId="0" fontId="25" fillId="16" borderId="2" xfId="0" applyFont="1" applyFill="1" applyBorder="1"/>
    <xf numFmtId="41" fontId="25" fillId="16" borderId="2" xfId="1" applyFont="1" applyFill="1" applyBorder="1"/>
    <xf numFmtId="164" fontId="25" fillId="16" borderId="2" xfId="2" applyFont="1" applyFill="1" applyBorder="1"/>
    <xf numFmtId="0" fontId="21" fillId="8" borderId="1" xfId="0" applyFont="1" applyFill="1" applyBorder="1" applyAlignment="1">
      <alignment horizontal="center"/>
    </xf>
    <xf numFmtId="41" fontId="22" fillId="8" borderId="1" xfId="1" applyFont="1" applyFill="1" applyBorder="1"/>
    <xf numFmtId="0" fontId="21" fillId="8" borderId="1" xfId="0" applyFont="1" applyFill="1" applyBorder="1"/>
    <xf numFmtId="0" fontId="22" fillId="8" borderId="1" xfId="0" applyFont="1" applyFill="1" applyBorder="1"/>
    <xf numFmtId="164" fontId="22" fillId="8" borderId="1" xfId="2" applyFont="1" applyFill="1" applyBorder="1"/>
    <xf numFmtId="168" fontId="41" fillId="21" borderId="1" xfId="1" applyNumberFormat="1" applyFont="1" applyFill="1" applyBorder="1" applyAlignment="1">
      <alignment horizontal="center"/>
    </xf>
    <xf numFmtId="41" fontId="10" fillId="0" borderId="1" xfId="4" applyNumberFormat="1" applyFont="1" applyBorder="1" applyAlignment="1">
      <alignment horizontal="center"/>
    </xf>
    <xf numFmtId="0" fontId="0" fillId="0" borderId="1" xfId="0" applyBorder="1"/>
    <xf numFmtId="1" fontId="21" fillId="10" borderId="1" xfId="4" applyNumberFormat="1" applyFont="1" applyFill="1" applyBorder="1" applyAlignment="1">
      <alignment horizontal="center"/>
    </xf>
    <xf numFmtId="1" fontId="29" fillId="2" borderId="1" xfId="3" applyNumberFormat="1" applyFont="1" applyFill="1" applyBorder="1" applyAlignment="1">
      <alignment horizontal="center"/>
    </xf>
    <xf numFmtId="0" fontId="36" fillId="0" borderId="24" xfId="0" applyFont="1" applyBorder="1"/>
    <xf numFmtId="0" fontId="27" fillId="17" borderId="24" xfId="0" applyFont="1" applyFill="1" applyBorder="1" applyAlignment="1">
      <alignment horizontal="center" vertical="center"/>
    </xf>
    <xf numFmtId="0" fontId="27" fillId="17" borderId="24" xfId="0" applyFont="1" applyFill="1" applyBorder="1"/>
    <xf numFmtId="41" fontId="27" fillId="17" borderId="24" xfId="1" applyFont="1" applyFill="1" applyBorder="1"/>
    <xf numFmtId="164" fontId="27" fillId="17" borderId="24" xfId="2" applyFont="1" applyFill="1" applyBorder="1"/>
    <xf numFmtId="168" fontId="41" fillId="21" borderId="24" xfId="1" applyNumberFormat="1" applyFont="1" applyFill="1" applyBorder="1" applyAlignment="1">
      <alignment horizontal="center"/>
    </xf>
    <xf numFmtId="41" fontId="10" fillId="0" borderId="24" xfId="4" applyNumberFormat="1" applyFont="1" applyBorder="1" applyAlignment="1">
      <alignment horizontal="center"/>
    </xf>
    <xf numFmtId="0" fontId="22" fillId="0" borderId="24" xfId="0" applyFont="1" applyBorder="1"/>
    <xf numFmtId="0" fontId="0" fillId="0" borderId="24" xfId="0" applyBorder="1"/>
    <xf numFmtId="1" fontId="21" fillId="10" borderId="24" xfId="4" applyNumberFormat="1" applyFont="1" applyFill="1" applyBorder="1" applyAlignment="1">
      <alignment horizontal="center"/>
    </xf>
    <xf numFmtId="1" fontId="29" fillId="2" borderId="24" xfId="3" applyNumberFormat="1" applyFont="1" applyFill="1" applyBorder="1" applyAlignment="1">
      <alignment horizontal="center"/>
    </xf>
    <xf numFmtId="41" fontId="22" fillId="8" borderId="24" xfId="1" applyFont="1" applyFill="1" applyBorder="1"/>
    <xf numFmtId="0" fontId="21" fillId="8" borderId="24" xfId="0" applyFont="1" applyFill="1" applyBorder="1"/>
    <xf numFmtId="0" fontId="22" fillId="8" borderId="24" xfId="0" applyFont="1" applyFill="1" applyBorder="1"/>
    <xf numFmtId="164" fontId="22" fillId="8" borderId="24" xfId="2" applyFont="1" applyFill="1" applyBorder="1"/>
    <xf numFmtId="0" fontId="44" fillId="17" borderId="4" xfId="0" applyFont="1" applyFill="1" applyBorder="1" applyAlignment="1">
      <alignment horizontal="center"/>
    </xf>
    <xf numFmtId="41" fontId="45" fillId="17" borderId="4" xfId="1" applyFont="1" applyFill="1" applyBorder="1"/>
    <xf numFmtId="0" fontId="44" fillId="17" borderId="4" xfId="0" applyFont="1" applyFill="1" applyBorder="1"/>
    <xf numFmtId="0" fontId="45" fillId="17" borderId="4" xfId="0" applyFont="1" applyFill="1" applyBorder="1"/>
    <xf numFmtId="164" fontId="45" fillId="17" borderId="4" xfId="2" applyFont="1" applyFill="1" applyBorder="1"/>
    <xf numFmtId="168" fontId="41" fillId="21" borderId="4" xfId="1" applyNumberFormat="1" applyFont="1" applyFill="1" applyBorder="1" applyAlignment="1">
      <alignment horizontal="center"/>
    </xf>
    <xf numFmtId="0" fontId="0" fillId="0" borderId="4" xfId="0" applyBorder="1"/>
    <xf numFmtId="1" fontId="29" fillId="2" borderId="4" xfId="3" applyNumberFormat="1" applyFont="1" applyFill="1" applyBorder="1" applyAlignment="1">
      <alignment horizontal="center"/>
    </xf>
    <xf numFmtId="1" fontId="11" fillId="0" borderId="4" xfId="3" applyNumberFormat="1" applyFont="1" applyFill="1" applyBorder="1" applyAlignment="1">
      <alignment horizontal="center"/>
    </xf>
    <xf numFmtId="164" fontId="0" fillId="0" borderId="1" xfId="2" applyFont="1" applyBorder="1"/>
    <xf numFmtId="0" fontId="46" fillId="17" borderId="4" xfId="0" applyFont="1" applyFill="1" applyBorder="1"/>
    <xf numFmtId="0" fontId="0" fillId="9" borderId="4" xfId="0" applyFill="1" applyBorder="1"/>
    <xf numFmtId="164" fontId="0" fillId="9" borderId="4" xfId="2" applyFont="1" applyFill="1" applyBorder="1"/>
    <xf numFmtId="168" fontId="41" fillId="9" borderId="4" xfId="1" applyNumberFormat="1" applyFont="1" applyFill="1" applyBorder="1" applyAlignment="1">
      <alignment horizontal="center"/>
    </xf>
    <xf numFmtId="16" fontId="0" fillId="0" borderId="2" xfId="0" applyNumberFormat="1" applyBorder="1"/>
    <xf numFmtId="0" fontId="0" fillId="24" borderId="0" xfId="0" applyFill="1" applyAlignment="1">
      <alignment horizontal="center"/>
    </xf>
    <xf numFmtId="41" fontId="3" fillId="24" borderId="0" xfId="0" applyNumberFormat="1" applyFont="1" applyFill="1" applyAlignment="1">
      <alignment horizontal="center"/>
    </xf>
    <xf numFmtId="1" fontId="3" fillId="15" borderId="0" xfId="4" applyNumberFormat="1" applyFont="1" applyFill="1" applyAlignment="1">
      <alignment horizontal="center"/>
    </xf>
    <xf numFmtId="41" fontId="8" fillId="15" borderId="0" xfId="1" applyFont="1" applyFill="1"/>
    <xf numFmtId="0" fontId="3" fillId="15" borderId="0" xfId="0" applyFont="1" applyFill="1" applyAlignment="1">
      <alignment horizontal="left"/>
    </xf>
    <xf numFmtId="41" fontId="3" fillId="15" borderId="0" xfId="1" applyFont="1" applyFill="1"/>
    <xf numFmtId="41" fontId="3" fillId="15" borderId="0" xfId="1" applyFont="1" applyFill="1" applyAlignment="1">
      <alignment horizontal="center"/>
    </xf>
    <xf numFmtId="41" fontId="3" fillId="15" borderId="2" xfId="1" applyFont="1" applyFill="1" applyBorder="1" applyAlignment="1">
      <alignment horizontal="right" wrapText="1"/>
    </xf>
    <xf numFmtId="0" fontId="0" fillId="15" borderId="0" xfId="0" applyFill="1" applyAlignment="1">
      <alignment horizontal="center"/>
    </xf>
    <xf numFmtId="0" fontId="25" fillId="16" borderId="21" xfId="0" applyFont="1" applyFill="1" applyBorder="1"/>
    <xf numFmtId="41" fontId="25" fillId="16" borderId="21" xfId="1" applyFont="1" applyFill="1" applyBorder="1"/>
    <xf numFmtId="164" fontId="25" fillId="16" borderId="21" xfId="2" applyFont="1" applyFill="1" applyBorder="1"/>
    <xf numFmtId="168" fontId="41" fillId="21" borderId="21" xfId="1" applyNumberFormat="1" applyFont="1" applyFill="1" applyBorder="1" applyAlignment="1">
      <alignment horizontal="center"/>
    </xf>
    <xf numFmtId="0" fontId="0" fillId="0" borderId="21" xfId="0" applyBorder="1"/>
    <xf numFmtId="1" fontId="29" fillId="2" borderId="21" xfId="3" applyNumberFormat="1" applyFont="1" applyFill="1" applyBorder="1" applyAlignment="1">
      <alignment horizontal="center"/>
    </xf>
    <xf numFmtId="0" fontId="50" fillId="16" borderId="6" xfId="0" applyFont="1" applyFill="1" applyBorder="1"/>
    <xf numFmtId="41" fontId="50" fillId="16" borderId="6" xfId="1" applyFont="1" applyFill="1" applyBorder="1"/>
    <xf numFmtId="164" fontId="50" fillId="16" borderId="6" xfId="2" applyFont="1" applyFill="1" applyBorder="1"/>
    <xf numFmtId="168" fontId="51" fillId="21" borderId="6" xfId="1" applyNumberFormat="1" applyFont="1" applyFill="1" applyBorder="1" applyAlignment="1">
      <alignment horizontal="center"/>
    </xf>
    <xf numFmtId="1" fontId="52" fillId="2" borderId="28" xfId="3" applyNumberFormat="1" applyFont="1" applyFill="1" applyBorder="1" applyAlignment="1">
      <alignment horizontal="center"/>
    </xf>
    <xf numFmtId="0" fontId="25" fillId="16" borderId="24" xfId="0" applyFont="1" applyFill="1" applyBorder="1"/>
    <xf numFmtId="41" fontId="25" fillId="16" borderId="24" xfId="1" applyFont="1" applyFill="1" applyBorder="1"/>
    <xf numFmtId="164" fontId="25" fillId="16" borderId="24" xfId="2" applyFont="1" applyFill="1" applyBorder="1"/>
    <xf numFmtId="16" fontId="0" fillId="0" borderId="21" xfId="0" applyNumberFormat="1" applyBorder="1"/>
    <xf numFmtId="0" fontId="53" fillId="8" borderId="1" xfId="0" applyFont="1" applyFill="1" applyBorder="1"/>
    <xf numFmtId="0" fontId="53" fillId="8" borderId="0" xfId="0" applyFont="1" applyFill="1"/>
    <xf numFmtId="166" fontId="53" fillId="8" borderId="0" xfId="2" applyNumberFormat="1" applyFont="1" applyFill="1"/>
    <xf numFmtId="41" fontId="53" fillId="8" borderId="1" xfId="1" applyFont="1" applyFill="1" applyBorder="1"/>
    <xf numFmtId="164" fontId="53" fillId="8" borderId="1" xfId="2" applyFont="1" applyFill="1" applyBorder="1"/>
    <xf numFmtId="164" fontId="53" fillId="8" borderId="2" xfId="2" applyFont="1" applyFill="1" applyBorder="1"/>
    <xf numFmtId="164" fontId="25" fillId="8" borderId="2" xfId="2" applyFont="1" applyFill="1" applyBorder="1"/>
    <xf numFmtId="165" fontId="14" fillId="2" borderId="2" xfId="1" applyNumberFormat="1" applyFont="1" applyFill="1" applyBorder="1" applyAlignment="1"/>
    <xf numFmtId="0" fontId="12" fillId="0" borderId="3" xfId="5" applyFont="1" applyBorder="1" applyAlignment="1">
      <alignment horizontal="left" vertical="top" wrapText="1"/>
    </xf>
    <xf numFmtId="0" fontId="26" fillId="0" borderId="24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24" fillId="0" borderId="2" xfId="0" applyFont="1" applyBorder="1" applyAlignment="1">
      <alignment horizontal="left"/>
    </xf>
    <xf numFmtId="0" fontId="24" fillId="0" borderId="21" xfId="0" applyFont="1" applyBorder="1" applyAlignment="1">
      <alignment horizontal="left"/>
    </xf>
    <xf numFmtId="0" fontId="24" fillId="0" borderId="24" xfId="0" applyFont="1" applyBorder="1" applyAlignment="1">
      <alignment horizontal="left"/>
    </xf>
    <xf numFmtId="0" fontId="49" fillId="0" borderId="6" xfId="0" applyFont="1" applyBorder="1" applyAlignment="1">
      <alignment horizontal="left"/>
    </xf>
    <xf numFmtId="0" fontId="35" fillId="0" borderId="8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50" fillId="0" borderId="6" xfId="0" applyFont="1" applyBorder="1" applyAlignment="1">
      <alignment horizontal="center"/>
    </xf>
    <xf numFmtId="9" fontId="7" fillId="0" borderId="8" xfId="3" applyFont="1" applyFill="1" applyBorder="1" applyAlignment="1">
      <alignment horizontal="center" vertical="center" wrapText="1"/>
    </xf>
    <xf numFmtId="9" fontId="7" fillId="0" borderId="5" xfId="3" applyFont="1" applyFill="1" applyBorder="1" applyAlignment="1">
      <alignment horizontal="center" vertical="center" wrapText="1"/>
    </xf>
    <xf numFmtId="0" fontId="10" fillId="0" borderId="24" xfId="0" applyFont="1" applyBorder="1"/>
    <xf numFmtId="0" fontId="10" fillId="0" borderId="4" xfId="0" applyFont="1" applyBorder="1"/>
    <xf numFmtId="0" fontId="10" fillId="0" borderId="21" xfId="0" applyFont="1" applyBorder="1"/>
    <xf numFmtId="0" fontId="48" fillId="0" borderId="23" xfId="0" applyFont="1" applyBorder="1"/>
    <xf numFmtId="0" fontId="47" fillId="0" borderId="24" xfId="0" applyFont="1" applyBorder="1"/>
    <xf numFmtId="0" fontId="9" fillId="10" borderId="2" xfId="0" applyFont="1" applyFill="1" applyBorder="1"/>
    <xf numFmtId="41" fontId="54" fillId="8" borderId="0" xfId="0" applyNumberFormat="1" applyFont="1" applyFill="1"/>
    <xf numFmtId="41" fontId="55" fillId="9" borderId="0" xfId="0" applyNumberFormat="1" applyFont="1" applyFill="1"/>
    <xf numFmtId="0" fontId="9" fillId="13" borderId="2" xfId="0" applyFont="1" applyFill="1" applyBorder="1"/>
    <xf numFmtId="0" fontId="0" fillId="13" borderId="2" xfId="0" applyFill="1" applyBorder="1"/>
    <xf numFmtId="9" fontId="10" fillId="13" borderId="2" xfId="3" applyFont="1" applyFill="1" applyBorder="1" applyAlignment="1">
      <alignment horizontal="center"/>
    </xf>
    <xf numFmtId="0" fontId="10" fillId="13" borderId="2" xfId="0" applyFont="1" applyFill="1" applyBorder="1" applyAlignment="1">
      <alignment horizontal="left"/>
    </xf>
    <xf numFmtId="164" fontId="0" fillId="13" borderId="2" xfId="2" applyFont="1" applyFill="1" applyBorder="1"/>
    <xf numFmtId="168" fontId="41" fillId="13" borderId="2" xfId="1" applyNumberFormat="1" applyFont="1" applyFill="1" applyBorder="1" applyAlignment="1">
      <alignment horizontal="center"/>
    </xf>
    <xf numFmtId="41" fontId="14" fillId="13" borderId="2" xfId="1" applyFont="1" applyFill="1" applyBorder="1" applyAlignment="1"/>
    <xf numFmtId="165" fontId="14" fillId="13" borderId="2" xfId="1" applyNumberFormat="1" applyFont="1" applyFill="1" applyBorder="1" applyAlignment="1"/>
    <xf numFmtId="41" fontId="10" fillId="13" borderId="1" xfId="4" applyNumberFormat="1" applyFont="1" applyFill="1" applyBorder="1" applyAlignment="1">
      <alignment horizontal="center"/>
    </xf>
    <xf numFmtId="0" fontId="10" fillId="13" borderId="2" xfId="0" applyFont="1" applyFill="1" applyBorder="1"/>
    <xf numFmtId="1" fontId="21" fillId="13" borderId="2" xfId="4" applyNumberFormat="1" applyFont="1" applyFill="1" applyBorder="1" applyAlignment="1">
      <alignment horizontal="center"/>
    </xf>
    <xf numFmtId="1" fontId="29" fillId="13" borderId="2" xfId="3" applyNumberFormat="1" applyFont="1" applyFill="1" applyBorder="1" applyAlignment="1">
      <alignment horizontal="center"/>
    </xf>
    <xf numFmtId="1" fontId="11" fillId="13" borderId="2" xfId="3" applyNumberFormat="1" applyFont="1" applyFill="1" applyBorder="1" applyAlignment="1">
      <alignment horizontal="center"/>
    </xf>
    <xf numFmtId="0" fontId="0" fillId="13" borderId="0" xfId="0" applyFill="1"/>
    <xf numFmtId="0" fontId="0" fillId="23" borderId="0" xfId="0" applyFill="1"/>
    <xf numFmtId="164" fontId="0" fillId="23" borderId="0" xfId="2" applyFont="1" applyFill="1"/>
    <xf numFmtId="0" fontId="0" fillId="23" borderId="0" xfId="0" applyFill="1" applyAlignment="1">
      <alignment horizontal="center"/>
    </xf>
    <xf numFmtId="0" fontId="0" fillId="13" borderId="0" xfId="0" applyFill="1" applyAlignment="1">
      <alignment horizontal="center"/>
    </xf>
    <xf numFmtId="164" fontId="0" fillId="13" borderId="0" xfId="2" applyFont="1" applyFill="1"/>
    <xf numFmtId="0" fontId="18" fillId="0" borderId="25" xfId="0" applyFont="1" applyBorder="1"/>
    <xf numFmtId="1" fontId="3" fillId="9" borderId="0" xfId="0" applyNumberFormat="1" applyFont="1" applyFill="1"/>
    <xf numFmtId="16" fontId="0" fillId="0" borderId="0" xfId="0" applyNumberFormat="1"/>
    <xf numFmtId="0" fontId="36" fillId="0" borderId="25" xfId="0" applyFont="1" applyBorder="1"/>
    <xf numFmtId="164" fontId="0" fillId="0" borderId="0" xfId="2" applyFont="1" applyFill="1"/>
    <xf numFmtId="0" fontId="3" fillId="9" borderId="0" xfId="4" applyFont="1" applyFill="1"/>
    <xf numFmtId="0" fontId="0" fillId="25" borderId="0" xfId="0" applyFill="1"/>
    <xf numFmtId="0" fontId="15" fillId="0" borderId="8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0" fillId="10" borderId="8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4" fillId="3" borderId="16" xfId="4" applyFont="1" applyFill="1" applyBorder="1" applyAlignment="1">
      <alignment horizontal="center" vertical="center"/>
    </xf>
    <xf numFmtId="0" fontId="4" fillId="3" borderId="0" xfId="4" applyFont="1" applyFill="1" applyAlignment="1">
      <alignment horizontal="center" vertical="center"/>
    </xf>
  </cellXfs>
  <cellStyles count="6">
    <cellStyle name="Comma [0]" xfId="1" builtinId="6"/>
    <cellStyle name="Currency [0]" xfId="2" builtinId="7"/>
    <cellStyle name="Normal" xfId="0" builtinId="0"/>
    <cellStyle name="Normal 2" xfId="4" xr:uid="{A5373C88-98F4-DF42-BADE-BE933BE46117}"/>
    <cellStyle name="Normal 2 2" xfId="5" xr:uid="{23938619-BE04-7B40-AA2B-63AC98D78F31}"/>
    <cellStyle name="Percent" xfId="3" builtinId="5"/>
  </cellStyles>
  <dxfs count="3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colors>
    <mruColors>
      <color rgb="FFEFA6AD"/>
      <color rgb="FFF55F6E"/>
      <color rgb="FFFEDF46"/>
      <color rgb="FFFFAB00"/>
      <color rgb="FFFFD6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FE2865-E109-D04E-A72B-01FDCF8FC8FE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  <we:property name="claude.fileId" value="&quot;aef4fddd-8e1a-445a-87cd-c6c11dcec4e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C1AA-B045-BD42-9D1C-993725304C8D}">
  <sheetPr codeName="Hoja1">
    <pageSetUpPr fitToPage="1"/>
  </sheetPr>
  <dimension ref="A1:AO49"/>
  <sheetViews>
    <sheetView zoomScale="110" zoomScaleNormal="110" workbookViewId="0">
      <pane ySplit="4" topLeftCell="A32" activePane="bottomLeft" state="frozen"/>
      <selection activeCell="D33" sqref="D33"/>
      <selection pane="bottomLeft" activeCell="AI11" sqref="AI11"/>
    </sheetView>
  </sheetViews>
  <sheetFormatPr baseColWidth="10" defaultRowHeight="16" outlineLevelCol="1"/>
  <cols>
    <col min="1" max="1" width="7.33203125" customWidth="1" outlineLevel="1"/>
    <col min="2" max="2" width="7.5" customWidth="1" outlineLevel="1"/>
    <col min="3" max="3" width="5" customWidth="1" outlineLevel="1"/>
    <col min="4" max="4" width="7.83203125" customWidth="1" outlineLevel="1"/>
    <col min="5" max="5" width="6" customWidth="1" outlineLevel="1"/>
    <col min="6" max="6" width="5.83203125" customWidth="1" outlineLevel="1"/>
    <col min="7" max="7" width="4.83203125" customWidth="1" outlineLevel="1"/>
    <col min="8" max="8" width="5.5" customWidth="1" outlineLevel="1"/>
    <col min="9" max="9" width="4.1640625" customWidth="1" outlineLevel="1"/>
    <col min="10" max="10" width="7.6640625" customWidth="1" outlineLevel="1"/>
    <col min="11" max="11" width="7" customWidth="1" outlineLevel="1"/>
    <col min="12" max="12" width="6.5" customWidth="1" outlineLevel="1" collapsed="1"/>
    <col min="13" max="13" width="7.6640625" customWidth="1" outlineLevel="1"/>
    <col min="14" max="14" width="8.1640625" customWidth="1"/>
    <col min="15" max="15" width="4.1640625" hidden="1" customWidth="1" outlineLevel="1"/>
    <col min="16" max="16" width="9" hidden="1" customWidth="1" outlineLevel="1"/>
    <col min="17" max="17" width="7.1640625" customWidth="1" collapsed="1"/>
    <col min="18" max="18" width="29" customWidth="1"/>
    <col min="19" max="19" width="8" customWidth="1"/>
    <col min="20" max="20" width="30.83203125" customWidth="1"/>
    <col min="21" max="21" width="17" customWidth="1"/>
    <col min="22" max="22" width="10.83203125" hidden="1" customWidth="1" outlineLevel="1"/>
    <col min="23" max="23" width="12.33203125" hidden="1" customWidth="1" outlineLevel="1"/>
    <col min="24" max="24" width="2.83203125" hidden="1" customWidth="1" outlineLevel="1"/>
    <col min="25" max="25" width="14.1640625" hidden="1" customWidth="1" outlineLevel="1"/>
    <col min="26" max="26" width="13.33203125" hidden="1" customWidth="1" outlineLevel="1"/>
    <col min="27" max="27" width="10.83203125" hidden="1" customWidth="1" outlineLevel="1"/>
    <col min="28" max="28" width="8.5" hidden="1" customWidth="1" outlineLevel="1"/>
    <col min="29" max="29" width="9.6640625" hidden="1" customWidth="1" outlineLevel="1"/>
    <col min="30" max="30" width="8.5" hidden="1" customWidth="1" outlineLevel="1"/>
    <col min="31" max="31" width="10.83203125" customWidth="1" collapsed="1"/>
    <col min="32" max="32" width="7.83203125" customWidth="1"/>
    <col min="33" max="33" width="8.33203125" customWidth="1"/>
    <col min="34" max="34" width="8.6640625" customWidth="1" outlineLevel="1"/>
    <col min="35" max="35" width="7.5" customWidth="1" outlineLevel="1"/>
    <col min="36" max="36" width="9" customWidth="1" outlineLevel="1"/>
    <col min="37" max="37" width="5.5" customWidth="1" outlineLevel="1"/>
    <col min="38" max="38" width="7.1640625" customWidth="1" outlineLevel="1"/>
    <col min="39" max="39" width="10.1640625" customWidth="1" outlineLevel="1"/>
    <col min="40" max="40" width="7.83203125" customWidth="1" outlineLevel="1"/>
    <col min="41" max="41" width="8.1640625" customWidth="1"/>
  </cols>
  <sheetData>
    <row r="1" spans="1:41" ht="57" thickBo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195" t="s">
        <v>401</v>
      </c>
      <c r="R1" s="195" t="s">
        <v>401</v>
      </c>
      <c r="S1" s="195" t="s">
        <v>401</v>
      </c>
      <c r="T1" s="69"/>
      <c r="U1" s="195" t="s">
        <v>401</v>
      </c>
      <c r="V1" s="195" t="s">
        <v>401</v>
      </c>
      <c r="W1" s="69"/>
      <c r="X1" s="69"/>
      <c r="Y1" s="195" t="s">
        <v>401</v>
      </c>
      <c r="Z1" s="69"/>
      <c r="AA1" s="69"/>
      <c r="AB1" s="69"/>
      <c r="AC1" s="69"/>
      <c r="AD1" s="69"/>
      <c r="AE1" s="195" t="s">
        <v>401</v>
      </c>
      <c r="AF1" s="111"/>
      <c r="AG1" s="111"/>
      <c r="AH1" s="359" t="s">
        <v>6</v>
      </c>
      <c r="AI1" s="360"/>
      <c r="AJ1" s="360"/>
      <c r="AK1" s="360"/>
      <c r="AL1" s="360"/>
      <c r="AM1" s="360"/>
      <c r="AN1" s="360"/>
      <c r="AO1" s="104"/>
    </row>
    <row r="2" spans="1:41" ht="52" thickBot="1">
      <c r="A2" s="395" t="s">
        <v>189</v>
      </c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  <c r="N2" s="48"/>
      <c r="O2" s="69"/>
      <c r="P2" s="349" t="s">
        <v>283</v>
      </c>
      <c r="Q2" s="153"/>
      <c r="R2" s="154" t="s">
        <v>284</v>
      </c>
      <c r="S2" s="153"/>
      <c r="T2" s="155" t="s">
        <v>285</v>
      </c>
      <c r="U2" s="156" t="s">
        <v>286</v>
      </c>
      <c r="V2" s="157" t="s">
        <v>287</v>
      </c>
      <c r="W2" s="69"/>
      <c r="X2" s="69"/>
      <c r="Y2" s="147"/>
      <c r="Z2" s="188" t="s">
        <v>292</v>
      </c>
      <c r="AA2" s="69" t="s">
        <v>247</v>
      </c>
      <c r="AB2" s="69" t="s">
        <v>247</v>
      </c>
      <c r="AC2" s="69" t="s">
        <v>247</v>
      </c>
      <c r="AD2" s="48"/>
      <c r="AE2" s="69"/>
      <c r="AF2" s="111"/>
      <c r="AG2" s="112"/>
      <c r="AH2" s="98" t="s">
        <v>190</v>
      </c>
      <c r="AI2" s="98" t="s">
        <v>1</v>
      </c>
      <c r="AJ2" s="99" t="s">
        <v>0</v>
      </c>
      <c r="AK2" s="185" t="s">
        <v>288</v>
      </c>
      <c r="AL2" s="186" t="s">
        <v>289</v>
      </c>
      <c r="AM2" s="185" t="s">
        <v>290</v>
      </c>
      <c r="AN2" s="186" t="s">
        <v>291</v>
      </c>
      <c r="AO2" s="99" t="s">
        <v>199</v>
      </c>
    </row>
    <row r="3" spans="1:41" ht="17" thickBot="1">
      <c r="A3" s="113"/>
      <c r="B3" s="113"/>
      <c r="C3" s="1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61"/>
      <c r="Q3" s="69"/>
      <c r="R3" s="48"/>
      <c r="S3" s="48"/>
      <c r="T3" s="48"/>
      <c r="U3" s="48"/>
      <c r="V3" s="48"/>
      <c r="W3" s="48"/>
      <c r="X3" s="48"/>
      <c r="Y3" s="148"/>
      <c r="Z3" s="189"/>
      <c r="AA3" s="92">
        <v>0.3</v>
      </c>
      <c r="AB3" s="88"/>
      <c r="AC3" s="88"/>
      <c r="AD3" s="240">
        <v>0</v>
      </c>
      <c r="AE3" s="48"/>
      <c r="AF3" s="398" t="s">
        <v>260</v>
      </c>
      <c r="AG3" s="399"/>
      <c r="AH3" s="100">
        <v>20</v>
      </c>
      <c r="AI3" s="100">
        <v>40</v>
      </c>
      <c r="AJ3" s="100">
        <v>50</v>
      </c>
      <c r="AK3" s="100">
        <v>70</v>
      </c>
      <c r="AL3" s="100">
        <v>80</v>
      </c>
      <c r="AM3" s="100">
        <v>90</v>
      </c>
      <c r="AN3" s="100">
        <v>100</v>
      </c>
      <c r="AO3" s="57"/>
    </row>
    <row r="4" spans="1:41" ht="68">
      <c r="A4" s="178"/>
      <c r="B4" s="178"/>
      <c r="C4" s="178"/>
      <c r="D4" s="72"/>
      <c r="E4" s="72"/>
      <c r="F4" s="72"/>
      <c r="G4" s="72"/>
      <c r="H4" s="72"/>
      <c r="I4" s="72"/>
      <c r="J4" s="72"/>
      <c r="K4" s="72"/>
      <c r="L4" s="73"/>
      <c r="M4" s="73"/>
      <c r="N4" s="74" t="s">
        <v>200</v>
      </c>
      <c r="O4" s="339" t="s">
        <v>255</v>
      </c>
      <c r="P4" s="75" t="s">
        <v>153</v>
      </c>
      <c r="Q4" s="76" t="s">
        <v>294</v>
      </c>
      <c r="R4" s="180" t="s">
        <v>5</v>
      </c>
      <c r="S4" s="181" t="s">
        <v>4</v>
      </c>
      <c r="T4" s="182" t="s">
        <v>3</v>
      </c>
      <c r="U4" s="182" t="s">
        <v>7</v>
      </c>
      <c r="V4" s="183" t="s">
        <v>2</v>
      </c>
      <c r="W4" s="62" t="s">
        <v>8</v>
      </c>
      <c r="X4" s="62"/>
      <c r="Y4" s="184" t="s">
        <v>9</v>
      </c>
      <c r="Z4" s="190" t="s">
        <v>293</v>
      </c>
      <c r="AA4" s="64" t="s">
        <v>229</v>
      </c>
      <c r="AB4" s="89" t="s">
        <v>230</v>
      </c>
      <c r="AC4" s="89" t="s">
        <v>235</v>
      </c>
      <c r="AD4" s="63" t="s">
        <v>231</v>
      </c>
      <c r="AE4" s="65" t="s">
        <v>187</v>
      </c>
      <c r="AF4" s="125" t="s">
        <v>261</v>
      </c>
      <c r="AG4" s="110" t="s">
        <v>262</v>
      </c>
      <c r="AH4" s="241"/>
      <c r="AI4" s="241"/>
      <c r="AJ4" s="242"/>
      <c r="AK4" s="243"/>
      <c r="AL4" s="244"/>
      <c r="AM4" s="243"/>
      <c r="AN4" s="244"/>
      <c r="AO4" s="244"/>
    </row>
    <row r="5" spans="1:41">
      <c r="A5" s="246"/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247">
        <v>1</v>
      </c>
      <c r="P5">
        <v>1</v>
      </c>
      <c r="Q5" s="385">
        <v>3</v>
      </c>
      <c r="R5" s="383" t="s">
        <v>502</v>
      </c>
      <c r="S5" s="383" t="s">
        <v>60</v>
      </c>
      <c r="T5" s="383" t="s">
        <v>61</v>
      </c>
      <c r="U5" s="383" t="s">
        <v>496</v>
      </c>
      <c r="V5" s="383" t="s">
        <v>265</v>
      </c>
      <c r="W5" s="384" t="s">
        <v>515</v>
      </c>
      <c r="X5" s="383"/>
      <c r="Y5" s="384">
        <v>1990000</v>
      </c>
      <c r="Z5" s="248">
        <f>IFERROR(VLOOKUP(S5,'Precios y materiales '!$A:$C,3,FALSE),"")</f>
        <v>1990000</v>
      </c>
      <c r="AA5" s="249">
        <f>(Y5*$AA$3)/'Mano de obra'!$C$9</f>
        <v>27.112240538095115</v>
      </c>
      <c r="AB5" s="249">
        <f t="shared" ref="AB5:AB33" si="0">AA5*(1-N5)</f>
        <v>0</v>
      </c>
      <c r="AC5" s="338">
        <f t="shared" ref="AC5:AC33" si="1">AB5/9</f>
        <v>0</v>
      </c>
      <c r="AD5" s="273">
        <f>AD3+(AA5*(1-N5))</f>
        <v>0</v>
      </c>
      <c r="AE5" s="158"/>
      <c r="AF5" s="390" t="s">
        <v>503</v>
      </c>
      <c r="AG5" s="250" t="str">
        <f ca="1">IFERROR(TEXT(HLOOKUP(AD5,'Mano de obra'!$L$23:$BP$25,3,TRUE),"d mmm"),"")</f>
        <v>27 May</v>
      </c>
      <c r="AH5" s="276" t="str">
        <f>IF((($N5)*100)&gt;='plan de producción'!AH$3,"x"," Material")</f>
        <v>x</v>
      </c>
      <c r="AI5" s="276" t="str">
        <f>IF((($N5)*100)&gt;='plan de producción'!AI$3,"x","Armar ")</f>
        <v>x</v>
      </c>
      <c r="AJ5" s="276" t="str">
        <f>IF((($N5)*100)&gt;='plan de producción'!AJ$3,"x"," Resoldar")</f>
        <v>x</v>
      </c>
      <c r="AK5" s="276" t="str">
        <f>IF((($N5)*100)&gt;='plan de producción'!AK$3,"x"," Pulir")</f>
        <v>x</v>
      </c>
      <c r="AL5" s="276" t="str">
        <f>IF((($N5)*100)&gt;='plan de producción'!AL$3,"x","Pintar ")</f>
        <v>x</v>
      </c>
      <c r="AM5" s="276" t="str">
        <f>IF((($N5)*100)&gt;='plan de producción'!AM$3,"x","Ensamblar ")</f>
        <v>x</v>
      </c>
      <c r="AN5" s="276" t="str">
        <f>IF((($N5)*100)&gt;='plan de producción'!AN$3,"x"," Empacar")</f>
        <v>x</v>
      </c>
      <c r="AO5" s="216"/>
    </row>
    <row r="6" spans="1:41">
      <c r="A6" s="246"/>
      <c r="B6" s="388"/>
      <c r="C6" s="388"/>
      <c r="D6" s="388"/>
      <c r="E6" s="388"/>
      <c r="F6" s="388"/>
      <c r="G6" s="388"/>
      <c r="H6" s="388"/>
      <c r="I6" s="388"/>
      <c r="J6" s="388"/>
      <c r="K6" s="388"/>
      <c r="L6" s="388"/>
      <c r="M6" s="388" t="s">
        <v>152</v>
      </c>
      <c r="N6" s="247">
        <v>1</v>
      </c>
      <c r="P6">
        <v>2</v>
      </c>
      <c r="Q6" s="385">
        <v>10</v>
      </c>
      <c r="R6" s="383" t="s">
        <v>502</v>
      </c>
      <c r="S6" s="383" t="s">
        <v>74</v>
      </c>
      <c r="T6" s="383" t="s">
        <v>75</v>
      </c>
      <c r="U6" s="383" t="s">
        <v>496</v>
      </c>
      <c r="V6" s="383" t="s">
        <v>265</v>
      </c>
      <c r="W6" s="384" t="s">
        <v>515</v>
      </c>
      <c r="X6" s="383"/>
      <c r="Y6" s="384">
        <v>650000</v>
      </c>
      <c r="Z6" s="248">
        <f>IFERROR(VLOOKUP(S6,'Precios y materiales '!$A:$C,3,FALSE),"")</f>
        <v>650000</v>
      </c>
      <c r="AA6" s="249">
        <f>(Y6*$AA$3)/'Mano de obra'!$C$9</f>
        <v>8.8557569596793098</v>
      </c>
      <c r="AB6" s="249">
        <f t="shared" si="0"/>
        <v>0</v>
      </c>
      <c r="AC6" s="338">
        <f t="shared" si="1"/>
        <v>0</v>
      </c>
      <c r="AD6" s="273">
        <f>AD5+(AA6*(1-N6))</f>
        <v>0</v>
      </c>
      <c r="AE6" s="158"/>
      <c r="AF6" s="390" t="s">
        <v>503</v>
      </c>
      <c r="AG6" s="250" t="str">
        <f ca="1">IFERROR(TEXT(HLOOKUP(AD6,'Mano de obra'!$L$23:$BP$25,3,TRUE),"d mmm"),"")</f>
        <v>27 May</v>
      </c>
      <c r="AH6" s="276" t="str">
        <f>IF((($N6)*100)&gt;='plan de producción'!AH$3,"x"," Material")</f>
        <v>x</v>
      </c>
      <c r="AI6" s="276" t="str">
        <f>IF((($N6)*100)&gt;='plan de producción'!AI$3,"x","Armar ")</f>
        <v>x</v>
      </c>
      <c r="AJ6" s="276" t="str">
        <f>IF((($N6)*100)&gt;='plan de producción'!AJ$3,"x"," Resoldar")</f>
        <v>x</v>
      </c>
      <c r="AK6" s="276" t="str">
        <f>IF((($N6)*100)&gt;='plan de producción'!AK$3,"x"," Pulir")</f>
        <v>x</v>
      </c>
      <c r="AL6" s="276" t="str">
        <f>IF((($N6)*100)&gt;='plan de producción'!AL$3,"x","Pintar ")</f>
        <v>x</v>
      </c>
      <c r="AM6" s="276" t="str">
        <f>IF((($N6)*100)&gt;='plan de producción'!AM$3,"x","Ensamblar ")</f>
        <v>x</v>
      </c>
      <c r="AN6" s="276" t="str">
        <f>IF((($N6)*100)&gt;='plan de producción'!AN$3,"x"," Empacar")</f>
        <v>x</v>
      </c>
      <c r="AO6" s="216"/>
    </row>
    <row r="7" spans="1:41">
      <c r="A7" s="246"/>
      <c r="B7" s="388"/>
      <c r="C7" s="388"/>
      <c r="D7" s="388"/>
      <c r="E7" s="388"/>
      <c r="F7" s="388"/>
      <c r="G7" s="388"/>
      <c r="H7" s="388"/>
      <c r="I7" s="388"/>
      <c r="J7" s="388"/>
      <c r="K7" s="388"/>
      <c r="L7" s="388"/>
      <c r="M7" s="388" t="s">
        <v>152</v>
      </c>
      <c r="N7" s="247">
        <v>1</v>
      </c>
      <c r="P7">
        <v>3</v>
      </c>
      <c r="Q7" s="385">
        <v>974</v>
      </c>
      <c r="R7" s="383" t="s">
        <v>502</v>
      </c>
      <c r="S7" s="383" t="s">
        <v>74</v>
      </c>
      <c r="T7" s="383" t="s">
        <v>75</v>
      </c>
      <c r="U7" s="383" t="s">
        <v>496</v>
      </c>
      <c r="V7" s="383" t="s">
        <v>265</v>
      </c>
      <c r="W7" s="384" t="s">
        <v>515</v>
      </c>
      <c r="X7" s="383"/>
      <c r="Y7" s="384">
        <v>650000</v>
      </c>
      <c r="Z7" s="248">
        <f>IFERROR(VLOOKUP(S7,'Precios y materiales '!$A:$C,3,FALSE),"")</f>
        <v>650000</v>
      </c>
      <c r="AA7" s="249">
        <f>(Y7*$AA$3)/'Mano de obra'!$C$9</f>
        <v>8.8557569596793098</v>
      </c>
      <c r="AB7" s="249">
        <f t="shared" si="0"/>
        <v>0</v>
      </c>
      <c r="AC7" s="338">
        <f t="shared" si="1"/>
        <v>0</v>
      </c>
      <c r="AD7" s="273">
        <f t="shared" ref="AD7:AD46" si="2">AD6+(AA7*(1-N7))</f>
        <v>0</v>
      </c>
      <c r="AE7" s="158"/>
      <c r="AF7" s="390" t="s">
        <v>504</v>
      </c>
      <c r="AG7" s="250" t="str">
        <f ca="1">IFERROR(TEXT(HLOOKUP(AD7,'Mano de obra'!$L$23:$BP$25,3,TRUE),"d mmm"),"")</f>
        <v>27 May</v>
      </c>
      <c r="AH7" s="276" t="str">
        <f>IF((($N7)*100)&gt;='plan de producción'!AH$3,"x"," Material")</f>
        <v>x</v>
      </c>
      <c r="AI7" s="276" t="str">
        <f>IF((($N7)*100)&gt;='plan de producción'!AI$3,"x","Armar ")</f>
        <v>x</v>
      </c>
      <c r="AJ7" s="276" t="str">
        <f>IF((($N7)*100)&gt;='plan de producción'!AJ$3,"x"," Resoldar")</f>
        <v>x</v>
      </c>
      <c r="AK7" s="276" t="str">
        <f>IF((($N7)*100)&gt;='plan de producción'!AK$3,"x"," Pulir")</f>
        <v>x</v>
      </c>
      <c r="AL7" s="276" t="str">
        <f>IF((($N7)*100)&gt;='plan de producción'!AL$3,"x","Pintar ")</f>
        <v>x</v>
      </c>
      <c r="AM7" s="276" t="str">
        <f>IF((($N7)*100)&gt;='plan de producción'!AM$3,"x","Ensamblar ")</f>
        <v>x</v>
      </c>
      <c r="AN7" s="276" t="str">
        <f>IF((($N7)*100)&gt;='plan de producción'!AN$3,"x"," Empacar")</f>
        <v>x</v>
      </c>
      <c r="AO7" s="216"/>
    </row>
    <row r="8" spans="1:41">
      <c r="A8" s="246"/>
      <c r="B8" s="388"/>
      <c r="C8" s="388"/>
      <c r="D8" s="388"/>
      <c r="E8" s="388"/>
      <c r="F8" s="388"/>
      <c r="G8" s="388"/>
      <c r="H8" s="388"/>
      <c r="I8" s="388"/>
      <c r="J8" s="388"/>
      <c r="K8" s="388"/>
      <c r="L8" s="388"/>
      <c r="M8" s="388" t="s">
        <v>152</v>
      </c>
      <c r="N8" s="247">
        <v>1</v>
      </c>
      <c r="P8">
        <v>4</v>
      </c>
      <c r="Q8" s="385">
        <v>977</v>
      </c>
      <c r="R8" s="383" t="s">
        <v>502</v>
      </c>
      <c r="S8" s="383" t="s">
        <v>138</v>
      </c>
      <c r="T8" s="383" t="s">
        <v>170</v>
      </c>
      <c r="U8" s="383" t="s">
        <v>496</v>
      </c>
      <c r="V8" s="383" t="s">
        <v>265</v>
      </c>
      <c r="W8" s="384" t="s">
        <v>515</v>
      </c>
      <c r="X8" s="383"/>
      <c r="Y8" s="384">
        <v>490000</v>
      </c>
      <c r="Z8" s="248">
        <f>IFERROR(VLOOKUP(S8,'Precios y materiales '!$A:$C,3,FALSE),"")</f>
        <v>490000</v>
      </c>
      <c r="AA8" s="249">
        <f>(Y8*$AA$3)/'Mano de obra'!$C$9</f>
        <v>6.6758783234505561</v>
      </c>
      <c r="AB8" s="249">
        <f t="shared" si="0"/>
        <v>0</v>
      </c>
      <c r="AC8" s="338">
        <f t="shared" si="1"/>
        <v>0</v>
      </c>
      <c r="AD8" s="273">
        <f t="shared" si="2"/>
        <v>0</v>
      </c>
      <c r="AE8" s="158"/>
      <c r="AF8" s="390" t="s">
        <v>504</v>
      </c>
      <c r="AG8" s="250" t="str">
        <f ca="1">IFERROR(TEXT(HLOOKUP(AD8,'Mano de obra'!$L$23:$BP$25,3,TRUE),"d mmm"),"")</f>
        <v>27 May</v>
      </c>
      <c r="AH8" s="276" t="str">
        <f>IF((($N8)*100)&gt;='plan de producción'!AH$3,"x"," Material")</f>
        <v>x</v>
      </c>
      <c r="AI8" s="276" t="str">
        <f>IF((($N8)*100)&gt;='plan de producción'!AI$3,"x","Armar ")</f>
        <v>x</v>
      </c>
      <c r="AJ8" s="276" t="str">
        <f>IF((($N8)*100)&gt;='plan de producción'!AJ$3,"x"," Resoldar")</f>
        <v>x</v>
      </c>
      <c r="AK8" s="276" t="str">
        <f>IF((($N8)*100)&gt;='plan de producción'!AK$3,"x"," Pulir")</f>
        <v>x</v>
      </c>
      <c r="AL8" s="276" t="str">
        <f>IF((($N8)*100)&gt;='plan de producción'!AL$3,"x","Pintar ")</f>
        <v>x</v>
      </c>
      <c r="AM8" s="276" t="str">
        <f>IF((($N8)*100)&gt;='plan de producción'!AM$3,"x","Ensamblar ")</f>
        <v>x</v>
      </c>
      <c r="AN8" s="276" t="str">
        <f>IF((($N8)*100)&gt;='plan de producción'!AN$3,"x"," Empacar")</f>
        <v>x</v>
      </c>
      <c r="AO8" s="216"/>
    </row>
    <row r="9" spans="1:41">
      <c r="A9" s="246"/>
      <c r="B9" s="388"/>
      <c r="C9" s="388"/>
      <c r="D9" s="388"/>
      <c r="E9" s="388"/>
      <c r="F9" s="388"/>
      <c r="G9" s="388"/>
      <c r="H9" s="388"/>
      <c r="I9" s="388"/>
      <c r="J9" s="388"/>
      <c r="K9" s="388"/>
      <c r="L9" s="388"/>
      <c r="M9" s="388" t="s">
        <v>152</v>
      </c>
      <c r="N9" s="247">
        <v>0.9</v>
      </c>
      <c r="P9">
        <v>5</v>
      </c>
      <c r="Q9" s="385">
        <v>5</v>
      </c>
      <c r="R9" s="383" t="s">
        <v>502</v>
      </c>
      <c r="S9" s="383" t="s">
        <v>104</v>
      </c>
      <c r="T9" s="383" t="s">
        <v>461</v>
      </c>
      <c r="U9" s="383" t="s">
        <v>496</v>
      </c>
      <c r="V9" s="383" t="s">
        <v>265</v>
      </c>
      <c r="W9" s="384" t="s">
        <v>515</v>
      </c>
      <c r="X9" s="383"/>
      <c r="Y9" s="384">
        <v>1490000</v>
      </c>
      <c r="Z9" s="248">
        <f>IFERROR(VLOOKUP(S9,'Precios y materiales '!$A:$C,3,FALSE),"")</f>
        <v>1490000</v>
      </c>
      <c r="AA9" s="249">
        <f>(Y9*$AA$3)/'Mano de obra'!$C$9</f>
        <v>20.300119799880264</v>
      </c>
      <c r="AB9" s="249">
        <f t="shared" si="0"/>
        <v>2.0300119799880258</v>
      </c>
      <c r="AC9" s="338">
        <f t="shared" si="1"/>
        <v>0.22555688666533621</v>
      </c>
      <c r="AD9" s="273">
        <f t="shared" si="2"/>
        <v>2.0300119799880258</v>
      </c>
      <c r="AE9" s="158"/>
      <c r="AF9" s="390" t="s">
        <v>504</v>
      </c>
      <c r="AG9" s="250" t="str">
        <f ca="1">IFERROR(TEXT(HLOOKUP(AD9,'Mano de obra'!$L$23:$BP$25,3,TRUE),"d mmm"),"")</f>
        <v>27 May</v>
      </c>
      <c r="AH9" s="276" t="str">
        <f>IF((($N9)*100)&gt;='plan de producción'!AH$3,"x"," Material")</f>
        <v>x</v>
      </c>
      <c r="AI9" s="276" t="str">
        <f>IF((($N9)*100)&gt;='plan de producción'!AI$3,"x","Armar ")</f>
        <v>x</v>
      </c>
      <c r="AJ9" s="276" t="str">
        <f>IF((($N9)*100)&gt;='plan de producción'!AJ$3,"x"," Resoldar")</f>
        <v>x</v>
      </c>
      <c r="AK9" s="276" t="str">
        <f>IF((($N9)*100)&gt;='plan de producción'!AK$3,"x"," Pulir")</f>
        <v>x</v>
      </c>
      <c r="AL9" s="276" t="str">
        <f>IF((($N9)*100)&gt;='plan de producción'!AL$3,"x","Pintar ")</f>
        <v>x</v>
      </c>
      <c r="AM9" s="276" t="str">
        <f>IF((($N9)*100)&gt;='plan de producción'!AM$3,"x","Ensamblar ")</f>
        <v>x</v>
      </c>
      <c r="AN9" s="276" t="str">
        <f>IF((($N9)*100)&gt;='plan de producción'!AN$3,"x"," Empacar")</f>
        <v xml:space="preserve"> Empacar</v>
      </c>
      <c r="AO9" s="216"/>
    </row>
    <row r="10" spans="1:41">
      <c r="A10" s="246"/>
      <c r="B10" s="388" t="s">
        <v>151</v>
      </c>
      <c r="C10" s="388"/>
      <c r="D10" s="388"/>
      <c r="E10" s="388"/>
      <c r="F10" s="388"/>
      <c r="G10" s="388"/>
      <c r="H10" s="388"/>
      <c r="I10" s="388"/>
      <c r="J10" s="388"/>
      <c r="K10" s="388"/>
      <c r="L10" s="388"/>
      <c r="M10" s="388" t="s">
        <v>152</v>
      </c>
      <c r="N10" s="247">
        <v>1</v>
      </c>
      <c r="P10">
        <v>6</v>
      </c>
      <c r="Q10" s="385">
        <v>1</v>
      </c>
      <c r="R10" s="383" t="s">
        <v>502</v>
      </c>
      <c r="S10" s="383" t="s">
        <v>82</v>
      </c>
      <c r="T10" s="383" t="s">
        <v>83</v>
      </c>
      <c r="U10" s="383" t="s">
        <v>496</v>
      </c>
      <c r="V10" s="383" t="s">
        <v>265</v>
      </c>
      <c r="W10" s="384" t="s">
        <v>515</v>
      </c>
      <c r="X10" s="383"/>
      <c r="Y10" s="384">
        <v>1190000</v>
      </c>
      <c r="Z10" s="248">
        <f>IFERROR(VLOOKUP(S10,'Precios y materiales '!$A:$C,3,FALSE),"")</f>
        <v>1190000</v>
      </c>
      <c r="AA10" s="249">
        <f>(Y10*$AA$3)/'Mano de obra'!$C$9</f>
        <v>16.21284735695135</v>
      </c>
      <c r="AB10" s="249">
        <f t="shared" si="0"/>
        <v>0</v>
      </c>
      <c r="AC10" s="338">
        <f t="shared" si="1"/>
        <v>0</v>
      </c>
      <c r="AD10" s="273">
        <f t="shared" si="2"/>
        <v>2.0300119799880258</v>
      </c>
      <c r="AE10" s="158"/>
      <c r="AF10" s="390" t="s">
        <v>504</v>
      </c>
      <c r="AG10" s="250" t="str">
        <f ca="1">IFERROR(TEXT(HLOOKUP(AD10,'Mano de obra'!$L$23:$BP$25,3,TRUE),"d mmm"),"")</f>
        <v>27 May</v>
      </c>
      <c r="AH10" s="276" t="str">
        <f>IF((($N10)*100)&gt;='plan de producción'!AH$3,"x"," Material")</f>
        <v>x</v>
      </c>
      <c r="AI10" s="276" t="str">
        <f>IF((($N10)*100)&gt;='plan de producción'!AI$3,"x","Armar ")</f>
        <v>x</v>
      </c>
      <c r="AJ10" s="276" t="str">
        <f>IF((($N10)*100)&gt;='plan de producción'!AJ$3,"x"," Resoldar")</f>
        <v>x</v>
      </c>
      <c r="AK10" s="276" t="str">
        <f>IF((($N10)*100)&gt;='plan de producción'!AK$3,"x"," Pulir")</f>
        <v>x</v>
      </c>
      <c r="AL10" s="276" t="str">
        <f>IF((($N10)*100)&gt;='plan de producción'!AL$3,"x","Pintar ")</f>
        <v>x</v>
      </c>
      <c r="AM10" s="276" t="str">
        <f>IF((($N10)*100)&gt;='plan de producción'!AM$3,"x","Ensamblar ")</f>
        <v>x</v>
      </c>
      <c r="AN10" s="276" t="str">
        <f>IF((($N10)*100)&gt;='plan de producción'!AN$3,"x"," Empacar")</f>
        <v>x</v>
      </c>
      <c r="AO10" s="216"/>
    </row>
    <row r="11" spans="1:41">
      <c r="A11" s="246"/>
      <c r="B11" s="388" t="s">
        <v>151</v>
      </c>
      <c r="C11" s="388"/>
      <c r="D11" s="388"/>
      <c r="E11" s="388"/>
      <c r="F11" s="388"/>
      <c r="G11" s="388"/>
      <c r="H11" s="388"/>
      <c r="I11" s="388"/>
      <c r="J11" s="388"/>
      <c r="K11" s="388"/>
      <c r="L11" s="388"/>
      <c r="M11" s="388" t="s">
        <v>152</v>
      </c>
      <c r="N11" s="247">
        <v>1</v>
      </c>
      <c r="P11">
        <v>7</v>
      </c>
      <c r="Q11" s="385">
        <v>975</v>
      </c>
      <c r="R11" s="383" t="s">
        <v>502</v>
      </c>
      <c r="S11" s="383" t="s">
        <v>82</v>
      </c>
      <c r="T11" s="383" t="s">
        <v>83</v>
      </c>
      <c r="U11" s="383" t="s">
        <v>496</v>
      </c>
      <c r="V11" s="383" t="s">
        <v>265</v>
      </c>
      <c r="W11" s="384" t="s">
        <v>515</v>
      </c>
      <c r="X11" s="383"/>
      <c r="Y11" s="384">
        <v>1190000</v>
      </c>
      <c r="Z11" s="248">
        <f>IFERROR(VLOOKUP(S11,'Precios y materiales '!$A:$C,3,FALSE),"")</f>
        <v>1190000</v>
      </c>
      <c r="AA11" s="249">
        <f>(Y11*$AA$3)/'Mano de obra'!$C$9</f>
        <v>16.21284735695135</v>
      </c>
      <c r="AB11" s="249">
        <f t="shared" si="0"/>
        <v>0</v>
      </c>
      <c r="AC11" s="338">
        <f t="shared" si="1"/>
        <v>0</v>
      </c>
      <c r="AD11" s="273">
        <f t="shared" si="2"/>
        <v>2.0300119799880258</v>
      </c>
      <c r="AE11" s="158"/>
      <c r="AF11" s="390" t="s">
        <v>504</v>
      </c>
      <c r="AG11" s="250" t="str">
        <f ca="1">IFERROR(TEXT(HLOOKUP(AD11,'Mano de obra'!$L$23:$BP$25,3,TRUE),"d mmm"),"")</f>
        <v>27 May</v>
      </c>
      <c r="AH11" s="276" t="str">
        <f>IF((($N11)*100)&gt;='plan de producción'!AH$3,"x"," Material")</f>
        <v>x</v>
      </c>
      <c r="AI11" s="276" t="str">
        <f>IF((($N11)*100)&gt;='plan de producción'!AI$3,"x","Armar ")</f>
        <v>x</v>
      </c>
      <c r="AJ11" s="276" t="str">
        <f>IF((($N11)*100)&gt;='plan de producción'!AJ$3,"x"," Resoldar")</f>
        <v>x</v>
      </c>
      <c r="AK11" s="276" t="str">
        <f>IF((($N11)*100)&gt;='plan de producción'!AK$3,"x"," Pulir")</f>
        <v>x</v>
      </c>
      <c r="AL11" s="276" t="str">
        <f>IF((($N11)*100)&gt;='plan de producción'!AL$3,"x","Pintar ")</f>
        <v>x</v>
      </c>
      <c r="AM11" s="276" t="str">
        <f>IF((($N11)*100)&gt;='plan de producción'!AM$3,"x","Ensamblar ")</f>
        <v>x</v>
      </c>
      <c r="AN11" s="276" t="str">
        <f>IF((($N11)*100)&gt;='plan de producción'!AN$3,"x"," Empacar")</f>
        <v>x</v>
      </c>
      <c r="AO11" s="216"/>
    </row>
    <row r="12" spans="1:41">
      <c r="A12" s="246"/>
      <c r="B12" s="388" t="s">
        <v>151</v>
      </c>
      <c r="C12" s="388"/>
      <c r="D12" s="388"/>
      <c r="E12" s="388"/>
      <c r="F12" s="388"/>
      <c r="G12" s="388"/>
      <c r="H12" s="388"/>
      <c r="I12" s="388"/>
      <c r="J12" s="388"/>
      <c r="K12" s="388"/>
      <c r="L12" s="388"/>
      <c r="M12" s="388" t="s">
        <v>152</v>
      </c>
      <c r="N12" s="247">
        <v>1</v>
      </c>
      <c r="P12">
        <v>8</v>
      </c>
      <c r="Q12" s="385">
        <v>976</v>
      </c>
      <c r="R12" s="383" t="s">
        <v>502</v>
      </c>
      <c r="S12" s="383" t="s">
        <v>82</v>
      </c>
      <c r="T12" s="383" t="s">
        <v>83</v>
      </c>
      <c r="U12" s="383" t="s">
        <v>496</v>
      </c>
      <c r="V12" s="383" t="s">
        <v>265</v>
      </c>
      <c r="W12" s="384" t="s">
        <v>515</v>
      </c>
      <c r="X12" s="383"/>
      <c r="Y12" s="384">
        <v>1190000</v>
      </c>
      <c r="Z12" s="248">
        <f>IFERROR(VLOOKUP(S12,'Precios y materiales '!$A:$C,3,FALSE),"")</f>
        <v>1190000</v>
      </c>
      <c r="AA12" s="249">
        <f>(Y12*$AA$3)/'Mano de obra'!$C$9</f>
        <v>16.21284735695135</v>
      </c>
      <c r="AB12" s="249">
        <f t="shared" si="0"/>
        <v>0</v>
      </c>
      <c r="AC12" s="338">
        <f t="shared" si="1"/>
        <v>0</v>
      </c>
      <c r="AD12" s="273">
        <f t="shared" si="2"/>
        <v>2.0300119799880258</v>
      </c>
      <c r="AE12" s="158"/>
      <c r="AF12" s="390" t="s">
        <v>505</v>
      </c>
      <c r="AG12" s="250" t="str">
        <f ca="1">IFERROR(TEXT(HLOOKUP(AD12,'Mano de obra'!$L$23:$BP$25,3,TRUE),"d mmm"),"")</f>
        <v>27 May</v>
      </c>
      <c r="AH12" s="276" t="str">
        <f>IF((($N12)*100)&gt;='plan de producción'!AH$3,"x"," Material")</f>
        <v>x</v>
      </c>
      <c r="AI12" s="276" t="str">
        <f>IF((($N12)*100)&gt;='plan de producción'!AI$3,"x","Armar ")</f>
        <v>x</v>
      </c>
      <c r="AJ12" s="276" t="str">
        <f>IF((($N12)*100)&gt;='plan de producción'!AJ$3,"x"," Resoldar")</f>
        <v>x</v>
      </c>
      <c r="AK12" s="276" t="str">
        <f>IF((($N12)*100)&gt;='plan de producción'!AK$3,"x"," Pulir")</f>
        <v>x</v>
      </c>
      <c r="AL12" s="276" t="str">
        <f>IF((($N12)*100)&gt;='plan de producción'!AL$3,"x","Pintar ")</f>
        <v>x</v>
      </c>
      <c r="AM12" s="276" t="str">
        <f>IF((($N12)*100)&gt;='plan de producción'!AM$3,"x","Ensamblar ")</f>
        <v>x</v>
      </c>
      <c r="AN12" s="276" t="str">
        <f>IF((($N12)*100)&gt;='plan de producción'!AN$3,"x"," Empacar")</f>
        <v>x</v>
      </c>
      <c r="AO12" s="216"/>
    </row>
    <row r="13" spans="1:41">
      <c r="A13" s="246"/>
      <c r="B13" s="388"/>
      <c r="C13" s="388"/>
      <c r="D13" s="388"/>
      <c r="E13" s="388"/>
      <c r="F13" s="388"/>
      <c r="G13" s="388"/>
      <c r="H13" s="388"/>
      <c r="I13" s="388"/>
      <c r="J13" s="388"/>
      <c r="K13" s="388"/>
      <c r="L13" s="388"/>
      <c r="M13" s="388" t="s">
        <v>152</v>
      </c>
      <c r="N13" s="247">
        <v>0.9</v>
      </c>
      <c r="P13">
        <v>9</v>
      </c>
      <c r="Q13" s="385">
        <v>13</v>
      </c>
      <c r="R13" s="383" t="s">
        <v>502</v>
      </c>
      <c r="S13" s="383" t="s">
        <v>115</v>
      </c>
      <c r="T13" s="383" t="s">
        <v>116</v>
      </c>
      <c r="U13" s="383" t="s">
        <v>496</v>
      </c>
      <c r="V13" s="383" t="s">
        <v>265</v>
      </c>
      <c r="W13" s="384" t="s">
        <v>515</v>
      </c>
      <c r="X13" s="383"/>
      <c r="Y13" s="384">
        <v>1250000</v>
      </c>
      <c r="Z13" s="248">
        <f>IFERROR(VLOOKUP(S13,'Precios y materiales '!$A:$C,3,FALSE),"")</f>
        <v>1250000</v>
      </c>
      <c r="AA13" s="249">
        <f>(Y13*$AA$3)/'Mano de obra'!$C$9</f>
        <v>17.030301845537132</v>
      </c>
      <c r="AB13" s="249">
        <f t="shared" si="0"/>
        <v>1.7030301845537128</v>
      </c>
      <c r="AC13" s="338">
        <f t="shared" si="1"/>
        <v>0.18922557606152365</v>
      </c>
      <c r="AD13" s="273">
        <f t="shared" si="2"/>
        <v>3.7330421645417387</v>
      </c>
      <c r="AE13" s="158"/>
      <c r="AF13" s="390" t="s">
        <v>505</v>
      </c>
      <c r="AG13" s="250" t="str">
        <f ca="1">IFERROR(TEXT(HLOOKUP(AD13,'Mano de obra'!$L$23:$BP$25,3,TRUE),"d mmm"),"")</f>
        <v>27 May</v>
      </c>
      <c r="AH13" s="276" t="str">
        <f>IF((($N13)*100)&gt;='plan de producción'!AH$3,"x"," Material")</f>
        <v>x</v>
      </c>
      <c r="AI13" s="276" t="str">
        <f>IF((($N13)*100)&gt;='plan de producción'!AI$3,"x","Armar ")</f>
        <v>x</v>
      </c>
      <c r="AJ13" s="276" t="str">
        <f>IF((($N13)*100)&gt;='plan de producción'!AJ$3,"x"," Resoldar")</f>
        <v>x</v>
      </c>
      <c r="AK13" s="276" t="str">
        <f>IF((($N13)*100)&gt;='plan de producción'!AK$3,"x"," Pulir")</f>
        <v>x</v>
      </c>
      <c r="AL13" s="276" t="str">
        <f>IF((($N13)*100)&gt;='plan de producción'!AL$3,"x","Pintar ")</f>
        <v>x</v>
      </c>
      <c r="AM13" s="276" t="str">
        <f>IF((($N13)*100)&gt;='plan de producción'!AM$3,"x","Ensamblar ")</f>
        <v>x</v>
      </c>
      <c r="AN13" s="276" t="str">
        <f>IF((($N13)*100)&gt;='plan de producción'!AN$3,"x"," Empacar")</f>
        <v xml:space="preserve"> Empacar</v>
      </c>
      <c r="AO13" s="216"/>
    </row>
    <row r="14" spans="1:41">
      <c r="A14" s="246"/>
      <c r="B14" s="388" t="s">
        <v>151</v>
      </c>
      <c r="C14" s="388"/>
      <c r="D14" s="388"/>
      <c r="E14" s="388"/>
      <c r="F14" s="388"/>
      <c r="G14" s="388"/>
      <c r="H14" s="388"/>
      <c r="I14" s="388"/>
      <c r="J14" s="388"/>
      <c r="K14" s="388"/>
      <c r="L14" s="388"/>
      <c r="M14" s="388" t="s">
        <v>152</v>
      </c>
      <c r="N14" s="247">
        <v>0.9</v>
      </c>
      <c r="P14">
        <v>10</v>
      </c>
      <c r="Q14" s="385">
        <v>12</v>
      </c>
      <c r="R14" s="383" t="s">
        <v>502</v>
      </c>
      <c r="S14" s="383" t="s">
        <v>70</v>
      </c>
      <c r="T14" s="383" t="s">
        <v>71</v>
      </c>
      <c r="U14" s="383" t="s">
        <v>496</v>
      </c>
      <c r="V14" s="383" t="s">
        <v>265</v>
      </c>
      <c r="W14" s="384" t="s">
        <v>515</v>
      </c>
      <c r="X14" s="383"/>
      <c r="Y14" s="384">
        <v>2100000</v>
      </c>
      <c r="Z14" s="248">
        <f>IFERROR(VLOOKUP(S14,'Precios y materiales '!$A:$C,3,FALSE),"")</f>
        <v>2100000</v>
      </c>
      <c r="AA14" s="249">
        <f>(Y14*$AA$3)/'Mano de obra'!$C$9</f>
        <v>28.610907100502384</v>
      </c>
      <c r="AB14" s="249">
        <f t="shared" si="0"/>
        <v>2.8610907100502376</v>
      </c>
      <c r="AC14" s="338">
        <f t="shared" si="1"/>
        <v>0.31789896778335974</v>
      </c>
      <c r="AD14" s="273">
        <f t="shared" si="2"/>
        <v>6.5941328745919758</v>
      </c>
      <c r="AE14" s="158"/>
      <c r="AF14" s="390" t="s">
        <v>505</v>
      </c>
      <c r="AG14" s="250" t="str">
        <f ca="1">IFERROR(TEXT(HLOOKUP(AD14,'Mano de obra'!$L$23:$BP$25,3,TRUE),"d mmm"),"")</f>
        <v>27 May</v>
      </c>
      <c r="AH14" s="276" t="str">
        <f>IF((($N14)*100)&gt;='plan de producción'!AH$3,"x"," Material")</f>
        <v>x</v>
      </c>
      <c r="AI14" s="276" t="str">
        <f>IF((($N14)*100)&gt;='plan de producción'!AI$3,"x","Armar ")</f>
        <v>x</v>
      </c>
      <c r="AJ14" s="276" t="str">
        <f>IF((($N14)*100)&gt;='plan de producción'!AJ$3,"x"," Resoldar")</f>
        <v>x</v>
      </c>
      <c r="AK14" s="276" t="str">
        <f>IF((($N14)*100)&gt;='plan de producción'!AK$3,"x"," Pulir")</f>
        <v>x</v>
      </c>
      <c r="AL14" s="276" t="str">
        <f>IF((($N14)*100)&gt;='plan de producción'!AL$3,"x","Pintar ")</f>
        <v>x</v>
      </c>
      <c r="AM14" s="276" t="str">
        <f>IF((($N14)*100)&gt;='plan de producción'!AM$3,"x","Ensamblar ")</f>
        <v>x</v>
      </c>
      <c r="AN14" s="276" t="str">
        <f>IF((($N14)*100)&gt;='plan de producción'!AN$3,"x"," Empacar")</f>
        <v xml:space="preserve"> Empacar</v>
      </c>
      <c r="AO14" s="216"/>
    </row>
    <row r="15" spans="1:41">
      <c r="A15" s="246"/>
      <c r="B15" s="388" t="s">
        <v>151</v>
      </c>
      <c r="C15" s="388"/>
      <c r="D15" s="388"/>
      <c r="E15" s="388"/>
      <c r="F15" s="388"/>
      <c r="G15" s="388"/>
      <c r="H15" s="388"/>
      <c r="I15" s="388"/>
      <c r="J15" s="388"/>
      <c r="K15" s="388"/>
      <c r="L15" s="388"/>
      <c r="M15" s="388" t="s">
        <v>152</v>
      </c>
      <c r="N15" s="247">
        <v>1</v>
      </c>
      <c r="P15">
        <v>11</v>
      </c>
      <c r="Q15" s="385">
        <v>42</v>
      </c>
      <c r="R15" s="383" t="s">
        <v>502</v>
      </c>
      <c r="S15" s="383" t="s">
        <v>23</v>
      </c>
      <c r="T15" s="383" t="s">
        <v>24</v>
      </c>
      <c r="U15" s="383" t="s">
        <v>496</v>
      </c>
      <c r="V15" s="383" t="s">
        <v>265</v>
      </c>
      <c r="W15" s="384" t="s">
        <v>515</v>
      </c>
      <c r="X15" s="383"/>
      <c r="Y15" s="384">
        <v>1750000</v>
      </c>
      <c r="Z15" s="248">
        <f>IFERROR(VLOOKUP(S15,'Precios y materiales '!$A:$C,3,FALSE),"")</f>
        <v>1750000</v>
      </c>
      <c r="AA15" s="249">
        <f>(Y15*$AA$3)/'Mano de obra'!$C$9</f>
        <v>23.842422583751986</v>
      </c>
      <c r="AB15" s="249">
        <f t="shared" si="0"/>
        <v>0</v>
      </c>
      <c r="AC15" s="338">
        <f t="shared" si="1"/>
        <v>0</v>
      </c>
      <c r="AD15" s="273">
        <f t="shared" si="2"/>
        <v>6.5941328745919758</v>
      </c>
      <c r="AE15" s="158"/>
      <c r="AF15" s="390" t="s">
        <v>506</v>
      </c>
      <c r="AG15" s="250" t="str">
        <f ca="1">IFERROR(TEXT(HLOOKUP(AD15,'Mano de obra'!$L$23:$BP$25,3,TRUE),"d mmm"),"")</f>
        <v>27 May</v>
      </c>
      <c r="AH15" s="276" t="str">
        <f>IF((($N15)*100)&gt;='plan de producción'!AH$3,"x"," Material")</f>
        <v>x</v>
      </c>
      <c r="AI15" s="276" t="str">
        <f>IF((($N15)*100)&gt;='plan de producción'!AI$3,"x","Armar ")</f>
        <v>x</v>
      </c>
      <c r="AJ15" s="276" t="str">
        <f>IF((($N15)*100)&gt;='plan de producción'!AJ$3,"x"," Resoldar")</f>
        <v>x</v>
      </c>
      <c r="AK15" s="276" t="str">
        <f>IF((($N15)*100)&gt;='plan de producción'!AK$3,"x"," Pulir")</f>
        <v>x</v>
      </c>
      <c r="AL15" s="276" t="str">
        <f>IF((($N15)*100)&gt;='plan de producción'!AL$3,"x","Pintar ")</f>
        <v>x</v>
      </c>
      <c r="AM15" s="276" t="str">
        <f>IF((($N15)*100)&gt;='plan de producción'!AM$3,"x","Ensamblar ")</f>
        <v>x</v>
      </c>
      <c r="AN15" s="276" t="str">
        <f>IF((($N15)*100)&gt;='plan de producción'!AN$3,"x"," Empacar")</f>
        <v>x</v>
      </c>
      <c r="AO15" s="216"/>
    </row>
    <row r="16" spans="1:41">
      <c r="A16" s="246"/>
      <c r="B16" s="388" t="s">
        <v>151</v>
      </c>
      <c r="C16" s="388"/>
      <c r="D16" s="388"/>
      <c r="E16" s="388"/>
      <c r="F16" s="388"/>
      <c r="G16" s="388"/>
      <c r="H16" s="388"/>
      <c r="I16" s="388"/>
      <c r="J16" s="388"/>
      <c r="K16" s="388"/>
      <c r="L16" s="388"/>
      <c r="M16" s="388" t="s">
        <v>152</v>
      </c>
      <c r="N16" s="247">
        <v>1</v>
      </c>
      <c r="P16">
        <v>12</v>
      </c>
      <c r="Q16" s="385">
        <v>32</v>
      </c>
      <c r="R16" s="383" t="s">
        <v>502</v>
      </c>
      <c r="S16" s="383" t="s">
        <v>137</v>
      </c>
      <c r="T16" s="383" t="s">
        <v>167</v>
      </c>
      <c r="U16" s="383" t="s">
        <v>496</v>
      </c>
      <c r="V16" s="383" t="s">
        <v>265</v>
      </c>
      <c r="W16" s="384" t="s">
        <v>515</v>
      </c>
      <c r="X16" s="383"/>
      <c r="Y16" s="384">
        <v>1390000</v>
      </c>
      <c r="Z16" s="248">
        <f>IFERROR(VLOOKUP(S16,'Precios y materiales '!$A:$C,3,FALSE),"")</f>
        <v>1390000</v>
      </c>
      <c r="AA16" s="249">
        <f>(Y16*$AA$3)/'Mano de obra'!$C$9</f>
        <v>18.937695652237291</v>
      </c>
      <c r="AB16" s="249">
        <f t="shared" si="0"/>
        <v>0</v>
      </c>
      <c r="AC16" s="338">
        <f t="shared" si="1"/>
        <v>0</v>
      </c>
      <c r="AD16" s="273">
        <f t="shared" si="2"/>
        <v>6.5941328745919758</v>
      </c>
      <c r="AE16" s="158"/>
      <c r="AF16" s="390" t="s">
        <v>506</v>
      </c>
      <c r="AG16" s="250" t="str">
        <f ca="1">IFERROR(TEXT(HLOOKUP(AD16,'Mano de obra'!$L$23:$BP$25,3,TRUE),"d mmm"),"")</f>
        <v>27 May</v>
      </c>
      <c r="AH16" s="276" t="str">
        <f>IF((($N16)*100)&gt;='plan de producción'!AH$3,"x"," Material")</f>
        <v>x</v>
      </c>
      <c r="AI16" s="276" t="str">
        <f>IF((($N16)*100)&gt;='plan de producción'!AI$3,"x","Armar ")</f>
        <v>x</v>
      </c>
      <c r="AJ16" s="276" t="str">
        <f>IF((($N16)*100)&gt;='plan de producción'!AJ$3,"x"," Resoldar")</f>
        <v>x</v>
      </c>
      <c r="AK16" s="276" t="str">
        <f>IF((($N16)*100)&gt;='plan de producción'!AK$3,"x"," Pulir")</f>
        <v>x</v>
      </c>
      <c r="AL16" s="276" t="str">
        <f>IF((($N16)*100)&gt;='plan de producción'!AL$3,"x","Pintar ")</f>
        <v>x</v>
      </c>
      <c r="AM16" s="276" t="str">
        <f>IF((($N16)*100)&gt;='plan de producción'!AM$3,"x","Ensamblar ")</f>
        <v>x</v>
      </c>
      <c r="AN16" s="276" t="str">
        <f>IF((($N16)*100)&gt;='plan de producción'!AN$3,"x"," Empacar")</f>
        <v>x</v>
      </c>
      <c r="AO16" s="216"/>
    </row>
    <row r="17" spans="1:41">
      <c r="A17" s="246"/>
      <c r="B17" s="388" t="s">
        <v>151</v>
      </c>
      <c r="C17" s="388"/>
      <c r="D17" s="388"/>
      <c r="E17" s="388"/>
      <c r="F17" s="388"/>
      <c r="G17" s="388"/>
      <c r="H17" s="388"/>
      <c r="I17" s="388"/>
      <c r="J17" s="388"/>
      <c r="K17" s="388"/>
      <c r="L17" s="388"/>
      <c r="M17" s="388" t="s">
        <v>152</v>
      </c>
      <c r="N17" s="247">
        <v>0.7</v>
      </c>
      <c r="P17">
        <v>13</v>
      </c>
      <c r="Q17" s="385">
        <v>2</v>
      </c>
      <c r="R17" s="383" t="s">
        <v>502</v>
      </c>
      <c r="S17" s="383" t="s">
        <v>135</v>
      </c>
      <c r="T17" s="383" t="s">
        <v>120</v>
      </c>
      <c r="U17" s="383" t="s">
        <v>496</v>
      </c>
      <c r="V17" s="383" t="s">
        <v>265</v>
      </c>
      <c r="W17" s="384" t="s">
        <v>515</v>
      </c>
      <c r="X17" s="383"/>
      <c r="Y17" s="384">
        <v>3990000</v>
      </c>
      <c r="Z17" s="248">
        <f>IFERROR(VLOOKUP(S17,'Precios y materiales '!$A:$C,3,FALSE),"")</f>
        <v>3990000</v>
      </c>
      <c r="AA17" s="249">
        <f>(Y17*$AA$3)/'Mano de obra'!$C$9</f>
        <v>54.360723490954527</v>
      </c>
      <c r="AB17" s="249">
        <f t="shared" si="0"/>
        <v>16.308217047286359</v>
      </c>
      <c r="AC17" s="338">
        <f t="shared" si="1"/>
        <v>1.8120241163651509</v>
      </c>
      <c r="AD17" s="273">
        <f t="shared" si="2"/>
        <v>22.902349921878333</v>
      </c>
      <c r="AE17" s="158"/>
      <c r="AF17" s="390" t="s">
        <v>518</v>
      </c>
      <c r="AG17" s="250" t="str">
        <f ca="1">IFERROR(TEXT(HLOOKUP(AD17,'Mano de obra'!$L$23:$BP$25,3,TRUE),"d mmm"),"")</f>
        <v>27 May</v>
      </c>
      <c r="AH17" s="276" t="str">
        <f>IF((($N17)*100)&gt;='plan de producción'!AH$3,"x"," Material")</f>
        <v>x</v>
      </c>
      <c r="AI17" s="276" t="str">
        <f>IF((($N17)*100)&gt;='plan de producción'!AI$3,"x","Armar ")</f>
        <v>x</v>
      </c>
      <c r="AJ17" s="276" t="str">
        <f>IF((($N17)*100)&gt;='plan de producción'!AJ$3,"x"," Resoldar")</f>
        <v>x</v>
      </c>
      <c r="AK17" s="276" t="str">
        <f>IF((($N17)*100)&gt;='plan de producción'!AK$3,"x"," Pulir")</f>
        <v>x</v>
      </c>
      <c r="AL17" s="276" t="str">
        <f>IF((($N17)*100)&gt;='plan de producción'!AL$3,"x","Pintar ")</f>
        <v xml:space="preserve">Pintar </v>
      </c>
      <c r="AM17" s="276" t="str">
        <f>IF((($N17)*100)&gt;='plan de producción'!AM$3,"x","Ensamblar ")</f>
        <v xml:space="preserve">Ensamblar </v>
      </c>
      <c r="AN17" s="276" t="str">
        <f>IF((($N17)*100)&gt;='plan de producción'!AN$3,"x"," Empacar")</f>
        <v xml:space="preserve"> Empacar</v>
      </c>
      <c r="AO17" s="216"/>
    </row>
    <row r="18" spans="1:41">
      <c r="A18" s="246"/>
      <c r="B18" s="388" t="s">
        <v>151</v>
      </c>
      <c r="C18" s="388"/>
      <c r="D18" s="388"/>
      <c r="E18" s="388"/>
      <c r="F18" s="388"/>
      <c r="G18" s="388"/>
      <c r="H18" s="388"/>
      <c r="I18" s="388"/>
      <c r="J18" s="388"/>
      <c r="K18" s="388"/>
      <c r="L18" s="388"/>
      <c r="M18" s="388" t="s">
        <v>152</v>
      </c>
      <c r="N18" s="247">
        <v>0.9</v>
      </c>
      <c r="P18">
        <v>14</v>
      </c>
      <c r="Q18" s="385">
        <v>4</v>
      </c>
      <c r="R18" s="383" t="s">
        <v>502</v>
      </c>
      <c r="S18" s="383" t="s">
        <v>100</v>
      </c>
      <c r="T18" s="383" t="s">
        <v>101</v>
      </c>
      <c r="U18" s="383" t="s">
        <v>496</v>
      </c>
      <c r="V18" s="383" t="s">
        <v>265</v>
      </c>
      <c r="W18" s="384" t="s">
        <v>515</v>
      </c>
      <c r="X18" s="383"/>
      <c r="Y18" s="384">
        <v>4000000</v>
      </c>
      <c r="Z18" s="248">
        <f>IFERROR(VLOOKUP(S18,'Precios y materiales '!$A:$C,3,FALSE),"")</f>
        <v>4000000</v>
      </c>
      <c r="AA18" s="249">
        <f>(Y18*$AA$3)/'Mano de obra'!$C$9</f>
        <v>54.496965905718824</v>
      </c>
      <c r="AB18" s="249">
        <f t="shared" si="0"/>
        <v>5.4496965905718815</v>
      </c>
      <c r="AC18" s="338">
        <f t="shared" si="1"/>
        <v>0.60552184339687576</v>
      </c>
      <c r="AD18" s="273">
        <f t="shared" si="2"/>
        <v>28.352046512450215</v>
      </c>
      <c r="AE18" s="158"/>
      <c r="AF18" s="390" t="s">
        <v>518</v>
      </c>
      <c r="AG18" s="250" t="str">
        <f ca="1">IFERROR(TEXT(HLOOKUP(AD18,'Mano de obra'!$L$23:$BP$25,3,TRUE),"d mmm"),"")</f>
        <v>27 May</v>
      </c>
      <c r="AH18" s="276" t="str">
        <f>IF((($N18)*100)&gt;='plan de producción'!AH$3,"x"," Material")</f>
        <v>x</v>
      </c>
      <c r="AI18" s="276" t="str">
        <f>IF((($N18)*100)&gt;='plan de producción'!AI$3,"x","Armar ")</f>
        <v>x</v>
      </c>
      <c r="AJ18" s="276" t="str">
        <f>IF((($N18)*100)&gt;='plan de producción'!AJ$3,"x"," Resoldar")</f>
        <v>x</v>
      </c>
      <c r="AK18" s="276" t="str">
        <f>IF((($N18)*100)&gt;='plan de producción'!AK$3,"x"," Pulir")</f>
        <v>x</v>
      </c>
      <c r="AL18" s="276" t="str">
        <f>IF((($N18)*100)&gt;='plan de producción'!AL$3,"x","Pintar ")</f>
        <v>x</v>
      </c>
      <c r="AM18" s="276" t="str">
        <f>IF((($N18)*100)&gt;='plan de producción'!AM$3,"x","Ensamblar ")</f>
        <v>x</v>
      </c>
      <c r="AN18" s="276" t="str">
        <f>IF((($N18)*100)&gt;='plan de producción'!AN$3,"x"," Empacar")</f>
        <v xml:space="preserve"> Empacar</v>
      </c>
      <c r="AO18" s="216"/>
    </row>
    <row r="19" spans="1:41">
      <c r="A19" s="246"/>
      <c r="B19" s="388"/>
      <c r="C19" s="388"/>
      <c r="D19" s="388"/>
      <c r="E19" s="388"/>
      <c r="F19" s="388"/>
      <c r="G19" s="388"/>
      <c r="H19" s="388"/>
      <c r="I19" s="388"/>
      <c r="J19" s="388"/>
      <c r="K19" s="388"/>
      <c r="L19" s="388"/>
      <c r="M19" s="388"/>
      <c r="N19" s="247">
        <v>0.5</v>
      </c>
      <c r="P19">
        <v>15</v>
      </c>
      <c r="Q19" s="385">
        <v>978</v>
      </c>
      <c r="R19" s="383" t="s">
        <v>502</v>
      </c>
      <c r="S19" s="383" t="s">
        <v>497</v>
      </c>
      <c r="T19" s="383" t="s">
        <v>498</v>
      </c>
      <c r="U19" s="383" t="s">
        <v>496</v>
      </c>
      <c r="V19" s="383" t="s">
        <v>265</v>
      </c>
      <c r="W19" s="384" t="s">
        <v>515</v>
      </c>
      <c r="X19" s="383"/>
      <c r="Y19" s="384">
        <v>168067.22689075631</v>
      </c>
      <c r="Z19" s="248" t="str">
        <f>IFERROR(VLOOKUP(S19,'Precios y materiales '!$A:$C,3,FALSE),"")</f>
        <v/>
      </c>
      <c r="AA19" s="249">
        <f>(Y19*$AA$3)/'Mano de obra'!$C$9</f>
        <v>2.289788483433564</v>
      </c>
      <c r="AB19" s="249">
        <f t="shared" si="0"/>
        <v>1.144894241716782</v>
      </c>
      <c r="AC19" s="338">
        <f t="shared" si="1"/>
        <v>0.12721047130186466</v>
      </c>
      <c r="AD19" s="273">
        <f t="shared" si="2"/>
        <v>29.496940754166996</v>
      </c>
      <c r="AE19" s="158"/>
      <c r="AF19" s="390" t="s">
        <v>518</v>
      </c>
      <c r="AG19" s="250" t="str">
        <f ca="1">IFERROR(TEXT(HLOOKUP(AD19,'Mano de obra'!$L$23:$BP$25,3,TRUE),"d mmm"),"")</f>
        <v>27 May</v>
      </c>
      <c r="AH19" s="276" t="str">
        <f>IF((($N19)*100)&gt;='plan de producción'!AH$3,"x"," Material")</f>
        <v>x</v>
      </c>
      <c r="AI19" s="276" t="str">
        <f>IF((($N19)*100)&gt;='plan de producción'!AI$3,"x","Armar ")</f>
        <v>x</v>
      </c>
      <c r="AJ19" s="276" t="str">
        <f>IF((($N19)*100)&gt;='plan de producción'!AJ$3,"x"," Resoldar")</f>
        <v>x</v>
      </c>
      <c r="AK19" s="276" t="str">
        <f>IF((($N19)*100)&gt;='plan de producción'!AK$3,"x"," Pulir")</f>
        <v xml:space="preserve"> Pulir</v>
      </c>
      <c r="AL19" s="276" t="str">
        <f>IF((($N19)*100)&gt;='plan de producción'!AL$3,"x","Pintar ")</f>
        <v xml:space="preserve">Pintar </v>
      </c>
      <c r="AM19" s="276" t="str">
        <f>IF((($N19)*100)&gt;='plan de producción'!AM$3,"x","Ensamblar ")</f>
        <v xml:space="preserve">Ensamblar </v>
      </c>
      <c r="AN19" s="276" t="str">
        <f>IF((($N19)*100)&gt;='plan de producción'!AN$3,"x"," Empacar")</f>
        <v xml:space="preserve"> Empacar</v>
      </c>
      <c r="AO19" s="216"/>
    </row>
    <row r="20" spans="1:41">
      <c r="A20" s="246" t="s">
        <v>150</v>
      </c>
      <c r="B20" s="388"/>
      <c r="C20" s="388"/>
      <c r="D20" s="388"/>
      <c r="E20" s="388"/>
      <c r="F20" s="388"/>
      <c r="G20" s="388"/>
      <c r="H20" s="388"/>
      <c r="I20" s="388"/>
      <c r="J20" s="388"/>
      <c r="K20" s="388"/>
      <c r="L20" s="388"/>
      <c r="M20" s="388"/>
      <c r="N20" s="247">
        <v>0.2</v>
      </c>
      <c r="P20">
        <v>16</v>
      </c>
      <c r="Q20" s="385">
        <v>979</v>
      </c>
      <c r="R20" s="383" t="s">
        <v>502</v>
      </c>
      <c r="S20" s="383" t="s">
        <v>499</v>
      </c>
      <c r="T20" s="383" t="s">
        <v>443</v>
      </c>
      <c r="U20" s="383" t="s">
        <v>496</v>
      </c>
      <c r="V20" s="383" t="s">
        <v>265</v>
      </c>
      <c r="W20" s="384" t="s">
        <v>515</v>
      </c>
      <c r="X20" s="383"/>
      <c r="Y20" s="384">
        <v>136974.78991596639</v>
      </c>
      <c r="Z20" s="248" t="str">
        <f>IFERROR(VLOOKUP(S20,'Precios y materiales '!$A:$C,3,FALSE),"")</f>
        <v/>
      </c>
      <c r="AA20" s="249">
        <f>(Y20*$AA$3)/'Mano de obra'!$C$9</f>
        <v>1.8661776139983548</v>
      </c>
      <c r="AB20" s="249">
        <f t="shared" si="0"/>
        <v>1.4929420911986839</v>
      </c>
      <c r="AC20" s="338">
        <f t="shared" si="1"/>
        <v>0.16588245457763154</v>
      </c>
      <c r="AD20" s="273">
        <f t="shared" si="2"/>
        <v>30.989882845365681</v>
      </c>
      <c r="AE20" s="158"/>
      <c r="AF20" s="390" t="s">
        <v>507</v>
      </c>
      <c r="AG20" s="250" t="str">
        <f ca="1">IFERROR(TEXT(HLOOKUP(AD20,'Mano de obra'!$L$23:$BP$25,3,TRUE),"d mmm"),"")</f>
        <v>27 May</v>
      </c>
      <c r="AH20" s="276" t="str">
        <f>IF((($N20)*100)&gt;='plan de producción'!AH$3,"x"," Material")</f>
        <v>x</v>
      </c>
      <c r="AI20" s="276" t="str">
        <f>IF((($N20)*100)&gt;='plan de producción'!AI$3,"x","Armar ")</f>
        <v xml:space="preserve">Armar </v>
      </c>
      <c r="AJ20" s="276" t="str">
        <f>IF((($N20)*100)&gt;='plan de producción'!AJ$3,"x"," Resoldar")</f>
        <v xml:space="preserve"> Resoldar</v>
      </c>
      <c r="AK20" s="276" t="str">
        <f>IF((($N20)*100)&gt;='plan de producción'!AK$3,"x"," Pulir")</f>
        <v xml:space="preserve"> Pulir</v>
      </c>
      <c r="AL20" s="276" t="str">
        <f>IF((($N20)*100)&gt;='plan de producción'!AL$3,"x","Pintar ")</f>
        <v xml:space="preserve">Pintar </v>
      </c>
      <c r="AM20" s="276" t="str">
        <f>IF((($N20)*100)&gt;='plan de producción'!AM$3,"x","Ensamblar ")</f>
        <v xml:space="preserve">Ensamblar </v>
      </c>
      <c r="AN20" s="276" t="str">
        <f>IF((($N20)*100)&gt;='plan de producción'!AN$3,"x"," Empacar")</f>
        <v xml:space="preserve"> Empacar</v>
      </c>
      <c r="AO20" s="216"/>
    </row>
    <row r="21" spans="1:41">
      <c r="A21" s="246" t="s">
        <v>150</v>
      </c>
      <c r="B21" s="388" t="s">
        <v>151</v>
      </c>
      <c r="C21" s="388"/>
      <c r="D21" s="388"/>
      <c r="E21" s="388"/>
      <c r="F21" s="388"/>
      <c r="G21" s="388"/>
      <c r="H21" s="388"/>
      <c r="I21" s="388"/>
      <c r="J21" s="388"/>
      <c r="K21" s="388"/>
      <c r="L21" s="388"/>
      <c r="M21" s="388" t="s">
        <v>152</v>
      </c>
      <c r="N21" s="247">
        <v>0.2</v>
      </c>
      <c r="P21">
        <v>17</v>
      </c>
      <c r="Q21" s="385">
        <v>980</v>
      </c>
      <c r="R21" s="383" t="s">
        <v>502</v>
      </c>
      <c r="S21" s="383" t="s">
        <v>62</v>
      </c>
      <c r="T21" s="383" t="s">
        <v>162</v>
      </c>
      <c r="U21" s="383" t="s">
        <v>496</v>
      </c>
      <c r="V21" s="383" t="s">
        <v>265</v>
      </c>
      <c r="W21" s="384" t="s">
        <v>515</v>
      </c>
      <c r="X21" s="383"/>
      <c r="Y21" s="384">
        <v>2880000</v>
      </c>
      <c r="Z21" s="248">
        <f>IFERROR(VLOOKUP(S21,'Precios y materiales '!$A:$C,3,FALSE),"")</f>
        <v>2880000</v>
      </c>
      <c r="AA21" s="249">
        <f>(Y21*$AA$3)/'Mano de obra'!$C$9</f>
        <v>39.237815452117552</v>
      </c>
      <c r="AB21" s="249">
        <f t="shared" si="0"/>
        <v>31.390252361694042</v>
      </c>
      <c r="AC21" s="338">
        <f t="shared" si="1"/>
        <v>3.4878058179660045</v>
      </c>
      <c r="AD21" s="273">
        <f t="shared" si="2"/>
        <v>62.380135207059723</v>
      </c>
      <c r="AE21" s="158"/>
      <c r="AF21" s="390" t="s">
        <v>507</v>
      </c>
      <c r="AG21" s="250" t="str">
        <f ca="1">IFERROR(TEXT(HLOOKUP(AD21,'Mano de obra'!$L$23:$BP$25,3,TRUE),"d mmm"),"")</f>
        <v>27 May</v>
      </c>
      <c r="AH21" s="276" t="str">
        <f>IF((($N21)*100)&gt;='plan de producción'!AH$3,"x"," Material")</f>
        <v>x</v>
      </c>
      <c r="AI21" s="276" t="str">
        <f>IF((($N21)*100)&gt;='plan de producción'!AI$3,"x","Armar ")</f>
        <v xml:space="preserve">Armar </v>
      </c>
      <c r="AJ21" s="276" t="str">
        <f>IF((($N21)*100)&gt;='plan de producción'!AJ$3,"x"," Resoldar")</f>
        <v xml:space="preserve"> Resoldar</v>
      </c>
      <c r="AK21" s="276" t="str">
        <f>IF((($N21)*100)&gt;='plan de producción'!AK$3,"x"," Pulir")</f>
        <v xml:space="preserve"> Pulir</v>
      </c>
      <c r="AL21" s="276" t="str">
        <f>IF((($N21)*100)&gt;='plan de producción'!AL$3,"x","Pintar ")</f>
        <v xml:space="preserve">Pintar </v>
      </c>
      <c r="AM21" s="276" t="str">
        <f>IF((($N21)*100)&gt;='plan de producción'!AM$3,"x","Ensamblar ")</f>
        <v xml:space="preserve">Ensamblar </v>
      </c>
      <c r="AN21" s="276" t="str">
        <f>IF((($N21)*100)&gt;='plan de producción'!AN$3,"x"," Empacar")</f>
        <v xml:space="preserve"> Empacar</v>
      </c>
      <c r="AO21" s="216"/>
    </row>
    <row r="22" spans="1:41">
      <c r="A22" s="246" t="s">
        <v>150</v>
      </c>
      <c r="B22" s="388" t="s">
        <v>151</v>
      </c>
      <c r="C22" s="388"/>
      <c r="D22" s="388"/>
      <c r="E22" s="388"/>
      <c r="F22" s="388"/>
      <c r="G22" s="388"/>
      <c r="H22" s="388"/>
      <c r="I22" s="388"/>
      <c r="J22" s="388"/>
      <c r="K22" s="388"/>
      <c r="L22" s="388"/>
      <c r="M22" s="388" t="s">
        <v>152</v>
      </c>
      <c r="N22" s="247">
        <v>0.8</v>
      </c>
      <c r="P22">
        <v>18</v>
      </c>
      <c r="Q22" s="385">
        <v>17</v>
      </c>
      <c r="R22" s="383" t="s">
        <v>502</v>
      </c>
      <c r="S22" s="383" t="s">
        <v>121</v>
      </c>
      <c r="T22" s="383" t="s">
        <v>122</v>
      </c>
      <c r="U22" s="383" t="s">
        <v>496</v>
      </c>
      <c r="V22" s="383" t="s">
        <v>265</v>
      </c>
      <c r="W22" s="384" t="s">
        <v>515</v>
      </c>
      <c r="X22" s="383"/>
      <c r="Y22" s="384">
        <v>3890000</v>
      </c>
      <c r="Z22" s="248">
        <f>IFERROR(VLOOKUP(S22,'Precios y materiales '!$A:$C,3,FALSE),"")</f>
        <v>3890000</v>
      </c>
      <c r="AA22" s="249">
        <f>(Y22*$AA$3)/'Mano de obra'!$C$9</f>
        <v>52.998299343311558</v>
      </c>
      <c r="AB22" s="249">
        <f t="shared" si="0"/>
        <v>10.599659868662309</v>
      </c>
      <c r="AC22" s="338">
        <f t="shared" si="1"/>
        <v>1.1777399854069233</v>
      </c>
      <c r="AD22" s="273">
        <f t="shared" si="2"/>
        <v>72.979795075722038</v>
      </c>
      <c r="AE22" s="158"/>
      <c r="AF22" s="390" t="s">
        <v>508</v>
      </c>
      <c r="AG22" s="250" t="str">
        <f ca="1">IFERROR(TEXT(HLOOKUP(AD22,'Mano de obra'!$L$23:$BP$25,3,TRUE),"d mmm"),"")</f>
        <v>28 May</v>
      </c>
      <c r="AH22" s="276" t="str">
        <f>IF((($N22)*100)&gt;='plan de producción'!AH$3,"x"," Material")</f>
        <v>x</v>
      </c>
      <c r="AI22" s="276" t="str">
        <f>IF((($N22)*100)&gt;='plan de producción'!AI$3,"x","Armar ")</f>
        <v>x</v>
      </c>
      <c r="AJ22" s="276" t="str">
        <f>IF((($N22)*100)&gt;='plan de producción'!AJ$3,"x"," Resoldar")</f>
        <v>x</v>
      </c>
      <c r="AK22" s="276" t="str">
        <f>IF((($N22)*100)&gt;='plan de producción'!AK$3,"x"," Pulir")</f>
        <v>x</v>
      </c>
      <c r="AL22" s="276" t="str">
        <f>IF((($N22)*100)&gt;='plan de producción'!AL$3,"x","Pintar ")</f>
        <v>x</v>
      </c>
      <c r="AM22" s="276" t="str">
        <f>IF((($N22)*100)&gt;='plan de producción'!AM$3,"x","Ensamblar ")</f>
        <v xml:space="preserve">Ensamblar </v>
      </c>
      <c r="AN22" s="276" t="str">
        <f>IF((($N22)*100)&gt;='plan de producción'!AN$3,"x"," Empacar")</f>
        <v xml:space="preserve"> Empacar</v>
      </c>
      <c r="AO22" s="216"/>
    </row>
    <row r="23" spans="1:41">
      <c r="A23" s="246"/>
      <c r="B23" s="388" t="s">
        <v>151</v>
      </c>
      <c r="C23" s="388"/>
      <c r="D23" s="388"/>
      <c r="E23" s="388"/>
      <c r="F23" s="388"/>
      <c r="G23" s="388"/>
      <c r="H23" s="388"/>
      <c r="I23" s="388"/>
      <c r="J23" s="388"/>
      <c r="K23" s="388"/>
      <c r="L23" s="388"/>
      <c r="M23" s="388" t="s">
        <v>152</v>
      </c>
      <c r="N23" s="247">
        <v>0.2</v>
      </c>
      <c r="P23">
        <v>19</v>
      </c>
      <c r="Q23" s="385">
        <v>981</v>
      </c>
      <c r="R23" s="383" t="s">
        <v>502</v>
      </c>
      <c r="S23" s="383" t="s">
        <v>84</v>
      </c>
      <c r="T23" s="383" t="s">
        <v>500</v>
      </c>
      <c r="U23" s="383" t="s">
        <v>496</v>
      </c>
      <c r="V23" s="383" t="s">
        <v>265</v>
      </c>
      <c r="W23" s="384" t="s">
        <v>515</v>
      </c>
      <c r="X23" s="383"/>
      <c r="Y23" s="384">
        <v>3990000</v>
      </c>
      <c r="Z23" s="248">
        <f>IFERROR(VLOOKUP(S23,'Precios y materiales '!$A:$C,3,FALSE),"")</f>
        <v>3990000</v>
      </c>
      <c r="AA23" s="249">
        <f>(Y23*$AA$3)/'Mano de obra'!$C$9</f>
        <v>54.360723490954527</v>
      </c>
      <c r="AB23" s="249">
        <f t="shared" si="0"/>
        <v>43.488578792763626</v>
      </c>
      <c r="AC23" s="338">
        <f t="shared" si="1"/>
        <v>4.8320643103070697</v>
      </c>
      <c r="AD23" s="273">
        <f t="shared" si="2"/>
        <v>116.46837386848566</v>
      </c>
      <c r="AE23" s="158"/>
      <c r="AF23" s="390" t="s">
        <v>509</v>
      </c>
      <c r="AG23" s="250" t="str">
        <f ca="1">IFERROR(TEXT(HLOOKUP(AD23,'Mano de obra'!$L$23:$BP$25,3,TRUE),"d mmm"),"")</f>
        <v>28 May</v>
      </c>
      <c r="AH23" s="276" t="str">
        <f>IF((($N23)*100)&gt;='plan de producción'!AH$3,"x"," Material")</f>
        <v>x</v>
      </c>
      <c r="AI23" s="276" t="str">
        <f>IF((($N23)*100)&gt;='plan de producción'!AI$3,"x","Armar ")</f>
        <v xml:space="preserve">Armar </v>
      </c>
      <c r="AJ23" s="276" t="str">
        <f>IF((($N23)*100)&gt;='plan de producción'!AJ$3,"x"," Resoldar")</f>
        <v xml:space="preserve"> Resoldar</v>
      </c>
      <c r="AK23" s="276" t="str">
        <f>IF((($N23)*100)&gt;='plan de producción'!AK$3,"x"," Pulir")</f>
        <v xml:space="preserve"> Pulir</v>
      </c>
      <c r="AL23" s="276" t="str">
        <f>IF((($N23)*100)&gt;='plan de producción'!AL$3,"x","Pintar ")</f>
        <v xml:space="preserve">Pintar </v>
      </c>
      <c r="AM23" s="276" t="str">
        <f>IF((($N23)*100)&gt;='plan de producción'!AM$3,"x","Ensamblar ")</f>
        <v xml:space="preserve">Ensamblar </v>
      </c>
      <c r="AN23" s="276" t="str">
        <f>IF((($N23)*100)&gt;='plan de producción'!AN$3,"x"," Empacar")</f>
        <v xml:space="preserve"> Empacar</v>
      </c>
      <c r="AO23" s="216"/>
    </row>
    <row r="24" spans="1:41">
      <c r="A24" s="246" t="s">
        <v>150</v>
      </c>
      <c r="B24" s="388" t="s">
        <v>151</v>
      </c>
      <c r="C24" s="388"/>
      <c r="D24" s="388"/>
      <c r="E24" s="391"/>
      <c r="F24" s="388"/>
      <c r="G24" s="388"/>
      <c r="H24" s="388"/>
      <c r="I24" s="388"/>
      <c r="J24" s="388"/>
      <c r="K24" s="388"/>
      <c r="L24" s="388"/>
      <c r="M24" s="388"/>
      <c r="N24" s="247">
        <v>0.9</v>
      </c>
      <c r="P24">
        <v>20</v>
      </c>
      <c r="Q24" s="385">
        <v>28</v>
      </c>
      <c r="R24" s="383" t="s">
        <v>502</v>
      </c>
      <c r="S24" s="383" t="s">
        <v>18</v>
      </c>
      <c r="T24" s="383" t="s">
        <v>19</v>
      </c>
      <c r="U24" s="383" t="s">
        <v>496</v>
      </c>
      <c r="V24" s="383" t="s">
        <v>265</v>
      </c>
      <c r="W24" s="384" t="s">
        <v>515</v>
      </c>
      <c r="X24" s="383"/>
      <c r="Y24" s="384">
        <v>5600000</v>
      </c>
      <c r="Z24" s="248">
        <f>IFERROR(VLOOKUP(S24,'Precios y materiales '!$A:$C,3,FALSE),"")</f>
        <v>5600000</v>
      </c>
      <c r="AA24" s="249">
        <f>(Y24*$AA$3)/'Mano de obra'!$C$9</f>
        <v>76.295752268006353</v>
      </c>
      <c r="AB24" s="249">
        <f t="shared" si="0"/>
        <v>7.6295752268006334</v>
      </c>
      <c r="AC24" s="338">
        <f t="shared" si="1"/>
        <v>0.84773058075562591</v>
      </c>
      <c r="AD24" s="273">
        <f t="shared" si="2"/>
        <v>124.0979490952863</v>
      </c>
      <c r="AE24" s="158"/>
      <c r="AF24" s="390" t="s">
        <v>510</v>
      </c>
      <c r="AG24" s="250" t="str">
        <f ca="1">IFERROR(TEXT(HLOOKUP(AD24,'Mano de obra'!$L$23:$BP$25,3,TRUE),"d mmm"),"")</f>
        <v>31 May</v>
      </c>
      <c r="AH24" s="276" t="str">
        <f>IF((($N24)*100)&gt;='plan de producción'!AH$3,"x"," Material")</f>
        <v>x</v>
      </c>
      <c r="AI24" s="276" t="str">
        <f>IF((($N24)*100)&gt;='plan de producción'!AI$3,"x","Armar ")</f>
        <v>x</v>
      </c>
      <c r="AJ24" s="276" t="str">
        <f>IF((($N24)*100)&gt;='plan de producción'!AJ$3,"x"," Resoldar")</f>
        <v>x</v>
      </c>
      <c r="AK24" s="276" t="str">
        <f>IF((($N24)*100)&gt;='plan de producción'!AK$3,"x"," Pulir")</f>
        <v>x</v>
      </c>
      <c r="AL24" s="276" t="str">
        <f>IF((($N24)*100)&gt;='plan de producción'!AL$3,"x","Pintar ")</f>
        <v>x</v>
      </c>
      <c r="AM24" s="276" t="str">
        <f>IF((($N24)*100)&gt;='plan de producción'!AM$3,"x","Ensamblar ")</f>
        <v>x</v>
      </c>
      <c r="AN24" s="276" t="str">
        <f>IF((($N24)*100)&gt;='plan de producción'!AN$3,"x"," Empacar")</f>
        <v xml:space="preserve"> Empacar</v>
      </c>
      <c r="AO24" s="216"/>
    </row>
    <row r="25" spans="1:41">
      <c r="A25" s="246" t="s">
        <v>150</v>
      </c>
      <c r="B25" s="388" t="s">
        <v>151</v>
      </c>
      <c r="C25" s="388"/>
      <c r="D25" s="388"/>
      <c r="E25" s="391"/>
      <c r="F25" s="388"/>
      <c r="G25" s="388"/>
      <c r="H25" s="388"/>
      <c r="I25" s="388"/>
      <c r="J25" s="388"/>
      <c r="K25" s="388"/>
      <c r="L25" s="388"/>
      <c r="M25" s="388" t="s">
        <v>152</v>
      </c>
      <c r="N25" s="247">
        <v>0.8</v>
      </c>
      <c r="P25">
        <v>21</v>
      </c>
      <c r="Q25" s="385">
        <v>16</v>
      </c>
      <c r="R25" s="383" t="s">
        <v>502</v>
      </c>
      <c r="S25" s="383" t="s">
        <v>125</v>
      </c>
      <c r="T25" s="383" t="s">
        <v>126</v>
      </c>
      <c r="U25" s="383" t="s">
        <v>496</v>
      </c>
      <c r="V25" s="383" t="s">
        <v>265</v>
      </c>
      <c r="W25" s="384" t="s">
        <v>515</v>
      </c>
      <c r="X25" s="383"/>
      <c r="Y25" s="384">
        <v>3990000</v>
      </c>
      <c r="Z25" s="248">
        <f>IFERROR(VLOOKUP(S25,'Precios y materiales '!$A:$C,3,FALSE),"")</f>
        <v>3990000</v>
      </c>
      <c r="AA25" s="249">
        <f>(Y25*$AA$3)/'Mano de obra'!$C$9</f>
        <v>54.360723490954527</v>
      </c>
      <c r="AB25" s="249">
        <f t="shared" si="0"/>
        <v>10.872144698190903</v>
      </c>
      <c r="AC25" s="338">
        <f t="shared" si="1"/>
        <v>1.208016077576767</v>
      </c>
      <c r="AD25" s="273">
        <f t="shared" si="2"/>
        <v>134.97009379347719</v>
      </c>
      <c r="AE25" s="158"/>
      <c r="AF25" s="390" t="s">
        <v>511</v>
      </c>
      <c r="AG25" s="250" t="str">
        <f ca="1">IFERROR(TEXT(HLOOKUP(AD25,'Mano de obra'!$L$23:$BP$25,3,TRUE),"d mmm"),"")</f>
        <v>31 May</v>
      </c>
      <c r="AH25" s="276" t="str">
        <f>IF((($N25)*100)&gt;='plan de producción'!AH$3,"x"," Material")</f>
        <v>x</v>
      </c>
      <c r="AI25" s="276" t="str">
        <f>IF((($N25)*100)&gt;='plan de producción'!AI$3,"x","Armar ")</f>
        <v>x</v>
      </c>
      <c r="AJ25" s="276" t="str">
        <f>IF((($N25)*100)&gt;='plan de producción'!AJ$3,"x"," Resoldar")</f>
        <v>x</v>
      </c>
      <c r="AK25" s="276" t="str">
        <f>IF((($N25)*100)&gt;='plan de producción'!AK$3,"x"," Pulir")</f>
        <v>x</v>
      </c>
      <c r="AL25" s="276" t="str">
        <f>IF((($N25)*100)&gt;='plan de producción'!AL$3,"x","Pintar ")</f>
        <v>x</v>
      </c>
      <c r="AM25" s="276" t="str">
        <f>IF((($N25)*100)&gt;='plan de producción'!AM$3,"x","Ensamblar ")</f>
        <v xml:space="preserve">Ensamblar </v>
      </c>
      <c r="AN25" s="276" t="str">
        <f>IF((($N25)*100)&gt;='plan de producción'!AN$3,"x"," Empacar")</f>
        <v xml:space="preserve"> Empacar</v>
      </c>
      <c r="AO25" s="216"/>
    </row>
    <row r="26" spans="1:41">
      <c r="A26" s="246"/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247">
        <v>1</v>
      </c>
      <c r="P26">
        <v>22</v>
      </c>
      <c r="Q26" s="385">
        <v>982</v>
      </c>
      <c r="R26" s="383" t="s">
        <v>502</v>
      </c>
      <c r="S26" s="383" t="s">
        <v>203</v>
      </c>
      <c r="T26" s="383" t="s">
        <v>517</v>
      </c>
      <c r="U26" s="383" t="s">
        <v>496</v>
      </c>
      <c r="V26" s="383" t="s">
        <v>265</v>
      </c>
      <c r="W26" s="384" t="s">
        <v>515</v>
      </c>
      <c r="X26" s="383"/>
      <c r="Y26" s="384">
        <v>500000</v>
      </c>
      <c r="Z26" s="248">
        <f>IFERROR(VLOOKUP(S26,'Precios y materiales '!$A:$C,3,FALSE),"")</f>
        <v>600000</v>
      </c>
      <c r="AA26" s="249">
        <f>(Y26*$AA$3)/'Mano de obra'!$C$9</f>
        <v>6.812120738214853</v>
      </c>
      <c r="AB26" s="249">
        <f t="shared" si="0"/>
        <v>0</v>
      </c>
      <c r="AC26" s="338">
        <f t="shared" si="1"/>
        <v>0</v>
      </c>
      <c r="AD26" s="273">
        <f t="shared" si="2"/>
        <v>134.97009379347719</v>
      </c>
      <c r="AE26" s="158"/>
      <c r="AF26" s="390" t="s">
        <v>511</v>
      </c>
      <c r="AG26" s="250" t="str">
        <f ca="1">IFERROR(TEXT(HLOOKUP(AD26,'Mano de obra'!$L$23:$BP$25,3,TRUE),"d mmm"),"")</f>
        <v>31 May</v>
      </c>
      <c r="AH26" s="276" t="str">
        <f>IF((($N26)*100)&gt;='plan de producción'!AH$3,"x"," Material")</f>
        <v>x</v>
      </c>
      <c r="AI26" s="276" t="str">
        <f>IF((($N26)*100)&gt;='plan de producción'!AI$3,"x","Armar ")</f>
        <v>x</v>
      </c>
      <c r="AJ26" s="276" t="str">
        <f>IF((($N26)*100)&gt;='plan de producción'!AJ$3,"x"," Resoldar")</f>
        <v>x</v>
      </c>
      <c r="AK26" s="276" t="str">
        <f>IF((($N26)*100)&gt;='plan de producción'!AK$3,"x"," Pulir")</f>
        <v>x</v>
      </c>
      <c r="AL26" s="276" t="str">
        <f>IF((($N26)*100)&gt;='plan de producción'!AL$3,"x","Pintar ")</f>
        <v>x</v>
      </c>
      <c r="AM26" s="276" t="str">
        <f>IF((($N26)*100)&gt;='plan de producción'!AM$3,"x","Ensamblar ")</f>
        <v>x</v>
      </c>
      <c r="AN26" s="276" t="str">
        <f>IF((($N26)*100)&gt;='plan de producción'!AN$3,"x"," Empacar")</f>
        <v>x</v>
      </c>
      <c r="AO26" s="216"/>
    </row>
    <row r="27" spans="1:41">
      <c r="A27" s="246"/>
      <c r="B27" s="388"/>
      <c r="C27" s="388"/>
      <c r="D27" s="388"/>
      <c r="E27" s="388"/>
      <c r="F27" s="388"/>
      <c r="G27" s="388"/>
      <c r="H27" s="388"/>
      <c r="I27" s="388"/>
      <c r="J27" s="388"/>
      <c r="K27" s="388"/>
      <c r="L27" s="388"/>
      <c r="M27" s="388"/>
      <c r="N27" s="247">
        <v>1</v>
      </c>
      <c r="P27">
        <v>23</v>
      </c>
      <c r="Q27" s="385">
        <v>983</v>
      </c>
      <c r="R27" s="383" t="s">
        <v>502</v>
      </c>
      <c r="S27" s="383" t="s">
        <v>203</v>
      </c>
      <c r="T27" s="383" t="s">
        <v>517</v>
      </c>
      <c r="U27" s="383" t="s">
        <v>496</v>
      </c>
      <c r="V27" s="383" t="s">
        <v>265</v>
      </c>
      <c r="W27" s="384" t="s">
        <v>515</v>
      </c>
      <c r="X27" s="383"/>
      <c r="Y27" s="384">
        <v>500000</v>
      </c>
      <c r="Z27" s="248">
        <f>IFERROR(VLOOKUP(S27,'Precios y materiales '!$A:$C,3,FALSE),"")</f>
        <v>600000</v>
      </c>
      <c r="AA27" s="249">
        <f>(Y27*$AA$3)/'Mano de obra'!$C$9</f>
        <v>6.812120738214853</v>
      </c>
      <c r="AB27" s="249">
        <f t="shared" si="0"/>
        <v>0</v>
      </c>
      <c r="AC27" s="338">
        <f t="shared" si="1"/>
        <v>0</v>
      </c>
      <c r="AD27" s="273">
        <f t="shared" si="2"/>
        <v>134.97009379347719</v>
      </c>
      <c r="AE27" s="158"/>
      <c r="AF27" s="390" t="s">
        <v>511</v>
      </c>
      <c r="AG27" s="250" t="str">
        <f ca="1">IFERROR(TEXT(HLOOKUP(AD27,'Mano de obra'!$L$23:$BP$25,3,TRUE),"d mmm"),"")</f>
        <v>31 May</v>
      </c>
      <c r="AH27" s="276" t="str">
        <f>IF((($N27)*100)&gt;='plan de producción'!AH$3,"x"," Material")</f>
        <v>x</v>
      </c>
      <c r="AI27" s="276" t="str">
        <f>IF((($N27)*100)&gt;='plan de producción'!AI$3,"x","Armar ")</f>
        <v>x</v>
      </c>
      <c r="AJ27" s="276" t="str">
        <f>IF((($N27)*100)&gt;='plan de producción'!AJ$3,"x"," Resoldar")</f>
        <v>x</v>
      </c>
      <c r="AK27" s="276" t="str">
        <f>IF((($N27)*100)&gt;='plan de producción'!AK$3,"x"," Pulir")</f>
        <v>x</v>
      </c>
      <c r="AL27" s="276" t="str">
        <f>IF((($N27)*100)&gt;='plan de producción'!AL$3,"x","Pintar ")</f>
        <v>x</v>
      </c>
      <c r="AM27" s="276" t="str">
        <f>IF((($N27)*100)&gt;='plan de producción'!AM$3,"x","Ensamblar ")</f>
        <v>x</v>
      </c>
      <c r="AN27" s="276" t="str">
        <f>IF((($N27)*100)&gt;='plan de producción'!AN$3,"x"," Empacar")</f>
        <v>x</v>
      </c>
      <c r="AO27" s="216"/>
    </row>
    <row r="28" spans="1:41">
      <c r="A28" s="246"/>
      <c r="B28" s="388"/>
      <c r="C28" s="388" t="s">
        <v>141</v>
      </c>
      <c r="D28" s="388"/>
      <c r="E28" s="388"/>
      <c r="F28" s="388"/>
      <c r="G28" s="388"/>
      <c r="H28" s="388"/>
      <c r="I28" s="388"/>
      <c r="J28" s="388"/>
      <c r="K28" s="388"/>
      <c r="L28" s="388"/>
      <c r="M28" s="388"/>
      <c r="N28" s="247">
        <v>1</v>
      </c>
      <c r="P28">
        <v>24</v>
      </c>
      <c r="Q28" s="385">
        <v>984</v>
      </c>
      <c r="R28" s="383" t="s">
        <v>502</v>
      </c>
      <c r="S28" s="383" t="s">
        <v>203</v>
      </c>
      <c r="T28" s="383" t="s">
        <v>517</v>
      </c>
      <c r="U28" s="383" t="s">
        <v>496</v>
      </c>
      <c r="V28" s="383" t="s">
        <v>265</v>
      </c>
      <c r="W28" s="384" t="s">
        <v>515</v>
      </c>
      <c r="X28" s="383"/>
      <c r="Y28" s="384">
        <v>764000</v>
      </c>
      <c r="Z28" s="248">
        <f>IFERROR(VLOOKUP(S28,'Precios y materiales '!$A:$C,3,FALSE),"")</f>
        <v>600000</v>
      </c>
      <c r="AA28" s="249">
        <f>(Y28*$AA$3)/'Mano de obra'!$C$9</f>
        <v>10.408920487992296</v>
      </c>
      <c r="AB28" s="249">
        <f t="shared" si="0"/>
        <v>0</v>
      </c>
      <c r="AC28" s="338">
        <f t="shared" si="1"/>
        <v>0</v>
      </c>
      <c r="AD28" s="273">
        <f t="shared" si="2"/>
        <v>134.97009379347719</v>
      </c>
      <c r="AE28" s="158"/>
      <c r="AF28" s="390" t="s">
        <v>511</v>
      </c>
      <c r="AG28" s="250" t="str">
        <f ca="1">IFERROR(TEXT(HLOOKUP(AD28,'Mano de obra'!$L$23:$BP$25,3,TRUE),"d mmm"),"")</f>
        <v>31 May</v>
      </c>
      <c r="AH28" s="276" t="str">
        <f>IF((($N28)*100)&gt;='plan de producción'!AH$3,"x"," Material")</f>
        <v>x</v>
      </c>
      <c r="AI28" s="276" t="str">
        <f>IF((($N28)*100)&gt;='plan de producción'!AI$3,"x","Armar ")</f>
        <v>x</v>
      </c>
      <c r="AJ28" s="276" t="str">
        <f>IF((($N28)*100)&gt;='plan de producción'!AJ$3,"x"," Resoldar")</f>
        <v>x</v>
      </c>
      <c r="AK28" s="276" t="str">
        <f>IF((($N28)*100)&gt;='plan de producción'!AK$3,"x"," Pulir")</f>
        <v>x</v>
      </c>
      <c r="AL28" s="276" t="str">
        <f>IF((($N28)*100)&gt;='plan de producción'!AL$3,"x","Pintar ")</f>
        <v>x</v>
      </c>
      <c r="AM28" s="276" t="str">
        <f>IF((($N28)*100)&gt;='plan de producción'!AM$3,"x","Ensamblar ")</f>
        <v>x</v>
      </c>
      <c r="AN28" s="276" t="str">
        <f>IF((($N28)*100)&gt;='plan de producción'!AN$3,"x"," Empacar")</f>
        <v>x</v>
      </c>
      <c r="AO28" s="216"/>
    </row>
    <row r="29" spans="1:41">
      <c r="A29" s="246" t="s">
        <v>150</v>
      </c>
      <c r="B29" s="388" t="s">
        <v>151</v>
      </c>
      <c r="C29" s="388"/>
      <c r="D29" s="388"/>
      <c r="E29" s="388"/>
      <c r="F29" s="388"/>
      <c r="G29" s="388"/>
      <c r="H29" s="388"/>
      <c r="I29" s="388"/>
      <c r="J29" s="388"/>
      <c r="K29" s="388"/>
      <c r="L29" s="388"/>
      <c r="M29" s="388" t="s">
        <v>152</v>
      </c>
      <c r="N29" s="247">
        <v>0.2</v>
      </c>
      <c r="P29">
        <v>25</v>
      </c>
      <c r="Q29" s="385">
        <v>8</v>
      </c>
      <c r="R29" s="383" t="s">
        <v>502</v>
      </c>
      <c r="S29" s="383" t="s">
        <v>88</v>
      </c>
      <c r="T29" s="383" t="s">
        <v>460</v>
      </c>
      <c r="U29" s="383" t="s">
        <v>496</v>
      </c>
      <c r="V29" s="383" t="s">
        <v>265</v>
      </c>
      <c r="W29" s="384" t="s">
        <v>515</v>
      </c>
      <c r="X29" s="383"/>
      <c r="Y29" s="384">
        <v>3600000</v>
      </c>
      <c r="Z29" s="248">
        <f>IFERROR(VLOOKUP(S29,'Precios y materiales '!$A:$C,3,FALSE),"")</f>
        <v>3600000</v>
      </c>
      <c r="AA29" s="249">
        <f>(Y29*$AA$3)/'Mano de obra'!$C$9</f>
        <v>49.047269315146941</v>
      </c>
      <c r="AB29" s="249">
        <f t="shared" si="0"/>
        <v>39.237815452117559</v>
      </c>
      <c r="AC29" s="338">
        <f t="shared" si="1"/>
        <v>4.3597572724575064</v>
      </c>
      <c r="AD29" s="273">
        <f t="shared" si="2"/>
        <v>174.20790924559475</v>
      </c>
      <c r="AE29" s="158"/>
      <c r="AF29" s="390" t="s">
        <v>512</v>
      </c>
      <c r="AG29" s="250" t="str">
        <f ca="1">IFERROR(TEXT(HLOOKUP(AD29,'Mano de obra'!$L$23:$BP$25,3,TRUE),"d mmm"),"")</f>
        <v>31 May</v>
      </c>
      <c r="AH29" s="276" t="str">
        <f>IF((($N29)*100)&gt;='plan de producción'!AH$3,"x"," Material")</f>
        <v>x</v>
      </c>
      <c r="AI29" s="276" t="str">
        <f>IF((($N29)*100)&gt;='plan de producción'!AI$3,"x","Armar ")</f>
        <v xml:space="preserve">Armar </v>
      </c>
      <c r="AJ29" s="276" t="str">
        <f>IF((($N29)*100)&gt;='plan de producción'!AJ$3,"x"," Resoldar")</f>
        <v xml:space="preserve"> Resoldar</v>
      </c>
      <c r="AK29" s="276" t="str">
        <f>IF((($N29)*100)&gt;='plan de producción'!AK$3,"x"," Pulir")</f>
        <v xml:space="preserve"> Pulir</v>
      </c>
      <c r="AL29" s="276" t="str">
        <f>IF((($N29)*100)&gt;='plan de producción'!AL$3,"x","Pintar ")</f>
        <v xml:space="preserve">Pintar </v>
      </c>
      <c r="AM29" s="276" t="str">
        <f>IF((($N29)*100)&gt;='plan de producción'!AM$3,"x","Ensamblar ")</f>
        <v xml:space="preserve">Ensamblar </v>
      </c>
      <c r="AN29" s="276" t="str">
        <f>IF((($N29)*100)&gt;='plan de producción'!AN$3,"x"," Empacar")</f>
        <v xml:space="preserve"> Empacar</v>
      </c>
      <c r="AO29" s="216"/>
    </row>
    <row r="30" spans="1:41">
      <c r="A30" s="246" t="s">
        <v>150</v>
      </c>
      <c r="B30" s="388" t="s">
        <v>151</v>
      </c>
      <c r="C30" s="388"/>
      <c r="D30" s="388"/>
      <c r="E30" s="388"/>
      <c r="F30" s="388"/>
      <c r="G30" s="388"/>
      <c r="H30" s="388"/>
      <c r="I30" s="388"/>
      <c r="J30" s="388"/>
      <c r="K30" s="388"/>
      <c r="L30" s="388"/>
      <c r="M30" s="388" t="s">
        <v>152</v>
      </c>
      <c r="N30" s="247">
        <v>0.2</v>
      </c>
      <c r="P30">
        <v>26</v>
      </c>
      <c r="Q30" s="385">
        <v>7</v>
      </c>
      <c r="R30" s="383" t="s">
        <v>502</v>
      </c>
      <c r="S30" s="383" t="s">
        <v>117</v>
      </c>
      <c r="T30" s="383" t="s">
        <v>118</v>
      </c>
      <c r="U30" s="383" t="s">
        <v>496</v>
      </c>
      <c r="V30" s="383" t="s">
        <v>265</v>
      </c>
      <c r="W30" s="384" t="s">
        <v>515</v>
      </c>
      <c r="X30" s="383"/>
      <c r="Y30" s="384">
        <v>3990000</v>
      </c>
      <c r="Z30" s="248">
        <f>IFERROR(VLOOKUP(S30,'Precios y materiales '!$A:$C,3,FALSE),"")</f>
        <v>3990000</v>
      </c>
      <c r="AA30" s="249">
        <f>(Y30*$AA$3)/'Mano de obra'!$C$9</f>
        <v>54.360723490954527</v>
      </c>
      <c r="AB30" s="249">
        <f t="shared" si="0"/>
        <v>43.488578792763626</v>
      </c>
      <c r="AC30" s="338">
        <f t="shared" si="1"/>
        <v>4.8320643103070697</v>
      </c>
      <c r="AD30" s="273">
        <f t="shared" si="2"/>
        <v>217.69648803835838</v>
      </c>
      <c r="AE30" s="158"/>
      <c r="AF30" s="390" t="s">
        <v>512</v>
      </c>
      <c r="AG30" s="250" t="str">
        <f ca="1">IFERROR(TEXT(HLOOKUP(AD30,'Mano de obra'!$L$23:$BP$25,3,TRUE),"d mmm"),"")</f>
        <v>1 Jun</v>
      </c>
      <c r="AH30" s="276" t="str">
        <f>IF((($N30)*100)&gt;='plan de producción'!AH$3,"x"," Material")</f>
        <v>x</v>
      </c>
      <c r="AI30" s="276" t="str">
        <f>IF((($N30)*100)&gt;='plan de producción'!AI$3,"x","Armar ")</f>
        <v xml:space="preserve">Armar </v>
      </c>
      <c r="AJ30" s="276" t="str">
        <f>IF((($N30)*100)&gt;='plan de producción'!AJ$3,"x"," Resoldar")</f>
        <v xml:space="preserve"> Resoldar</v>
      </c>
      <c r="AK30" s="276" t="str">
        <f>IF((($N30)*100)&gt;='plan de producción'!AK$3,"x"," Pulir")</f>
        <v xml:space="preserve"> Pulir</v>
      </c>
      <c r="AL30" s="276" t="str">
        <f>IF((($N30)*100)&gt;='plan de producción'!AL$3,"x","Pintar ")</f>
        <v xml:space="preserve">Pintar </v>
      </c>
      <c r="AM30" s="276" t="str">
        <f>IF((($N30)*100)&gt;='plan de producción'!AM$3,"x","Ensamblar ")</f>
        <v xml:space="preserve">Ensamblar </v>
      </c>
      <c r="AN30" s="276" t="str">
        <f>IF((($N30)*100)&gt;='plan de producción'!AN$3,"x"," Empacar")</f>
        <v xml:space="preserve"> Empacar</v>
      </c>
      <c r="AO30" s="216"/>
    </row>
    <row r="31" spans="1:41">
      <c r="A31" s="246" t="s">
        <v>150</v>
      </c>
      <c r="B31" s="388" t="s">
        <v>151</v>
      </c>
      <c r="C31" s="388"/>
      <c r="D31" s="388"/>
      <c r="E31" s="388"/>
      <c r="F31" s="388"/>
      <c r="G31" s="388"/>
      <c r="H31" s="388"/>
      <c r="I31" s="388" t="s">
        <v>149</v>
      </c>
      <c r="J31" s="388"/>
      <c r="K31" s="388"/>
      <c r="L31" s="388"/>
      <c r="M31" s="388"/>
      <c r="N31" s="247">
        <v>0.2</v>
      </c>
      <c r="P31">
        <v>27</v>
      </c>
      <c r="Q31" s="385">
        <v>9</v>
      </c>
      <c r="R31" s="383" t="s">
        <v>502</v>
      </c>
      <c r="S31" s="383" t="s">
        <v>96</v>
      </c>
      <c r="T31" s="383" t="s">
        <v>97</v>
      </c>
      <c r="U31" s="383" t="s">
        <v>496</v>
      </c>
      <c r="V31" s="383" t="s">
        <v>265</v>
      </c>
      <c r="W31" s="384" t="s">
        <v>515</v>
      </c>
      <c r="X31" s="383"/>
      <c r="Y31" s="384">
        <v>4450000</v>
      </c>
      <c r="Z31" s="248">
        <f>IFERROR(VLOOKUP(S31,'Precios y materiales '!$A:$C,3,FALSE),"")</f>
        <v>4450000</v>
      </c>
      <c r="AA31" s="249">
        <f>(Y31*$AA$3)/'Mano de obra'!$C$9</f>
        <v>60.627874570112191</v>
      </c>
      <c r="AB31" s="249">
        <f t="shared" si="0"/>
        <v>48.502299656089754</v>
      </c>
      <c r="AC31" s="338">
        <f t="shared" si="1"/>
        <v>5.3891444062321945</v>
      </c>
      <c r="AD31" s="273">
        <f t="shared" si="2"/>
        <v>266.19878769444813</v>
      </c>
      <c r="AE31" s="158"/>
      <c r="AF31" s="390">
        <v>46162</v>
      </c>
      <c r="AG31" s="250" t="str">
        <f ca="1">IFERROR(TEXT(HLOOKUP(AD31,'Mano de obra'!$L$23:$BP$25,3,TRUE),"d mmm"),"")</f>
        <v>2 Jun</v>
      </c>
      <c r="AH31" s="276" t="str">
        <f>IF((($N31)*100)&gt;='plan de producción'!AH$3,"x"," Material")</f>
        <v>x</v>
      </c>
      <c r="AI31" s="276" t="str">
        <f>IF((($N31)*100)&gt;='plan de producción'!AI$3,"x","Armar ")</f>
        <v xml:space="preserve">Armar </v>
      </c>
      <c r="AJ31" s="276" t="str">
        <f>IF((($N31)*100)&gt;='plan de producción'!AJ$3,"x"," Resoldar")</f>
        <v xml:space="preserve"> Resoldar</v>
      </c>
      <c r="AK31" s="276" t="str">
        <f>IF((($N31)*100)&gt;='plan de producción'!AK$3,"x"," Pulir")</f>
        <v xml:space="preserve"> Pulir</v>
      </c>
      <c r="AL31" s="276" t="str">
        <f>IF((($N31)*100)&gt;='plan de producción'!AL$3,"x","Pintar ")</f>
        <v xml:space="preserve">Pintar </v>
      </c>
      <c r="AM31" s="276" t="str">
        <f>IF((($N31)*100)&gt;='plan de producción'!AM$3,"x","Ensamblar ")</f>
        <v xml:space="preserve">Ensamblar </v>
      </c>
      <c r="AN31" s="276" t="str">
        <f>IF((($N31)*100)&gt;='plan de producción'!AN$3,"x"," Empacar")</f>
        <v xml:space="preserve"> Empacar</v>
      </c>
      <c r="AO31" s="216"/>
    </row>
    <row r="32" spans="1:41">
      <c r="A32" s="246" t="s">
        <v>150</v>
      </c>
      <c r="B32" s="388" t="s">
        <v>151</v>
      </c>
      <c r="C32" s="388" t="s">
        <v>141</v>
      </c>
      <c r="D32" s="388"/>
      <c r="E32" s="388"/>
      <c r="F32" s="388"/>
      <c r="G32" s="388"/>
      <c r="H32" s="388"/>
      <c r="I32" s="388" t="s">
        <v>149</v>
      </c>
      <c r="J32" s="388"/>
      <c r="K32" s="388"/>
      <c r="L32" s="388"/>
      <c r="M32" s="388" t="s">
        <v>152</v>
      </c>
      <c r="N32" s="247">
        <v>0</v>
      </c>
      <c r="P32">
        <v>28</v>
      </c>
      <c r="Q32" s="385">
        <v>29</v>
      </c>
      <c r="R32" s="383" t="s">
        <v>502</v>
      </c>
      <c r="S32" s="383" t="s">
        <v>102</v>
      </c>
      <c r="T32" s="383" t="s">
        <v>103</v>
      </c>
      <c r="U32" s="383" t="s">
        <v>496</v>
      </c>
      <c r="V32" s="383" t="s">
        <v>265</v>
      </c>
      <c r="W32" s="384" t="s">
        <v>515</v>
      </c>
      <c r="X32" s="383"/>
      <c r="Y32" s="384">
        <v>2490000</v>
      </c>
      <c r="Z32" s="248">
        <f>IFERROR(VLOOKUP(S32,'Precios y materiales '!$A:$C,3,FALSE),"")</f>
        <v>2490000</v>
      </c>
      <c r="AA32" s="249">
        <f>(Y32*$AA$3)/'Mano de obra'!$C$9</f>
        <v>33.924361276309966</v>
      </c>
      <c r="AB32" s="249">
        <f t="shared" si="0"/>
        <v>33.924361276309966</v>
      </c>
      <c r="AC32" s="338">
        <f t="shared" si="1"/>
        <v>3.7693734751455517</v>
      </c>
      <c r="AD32" s="273">
        <f t="shared" si="2"/>
        <v>300.12314897075811</v>
      </c>
      <c r="AE32" s="158"/>
      <c r="AF32" s="390">
        <v>46162</v>
      </c>
      <c r="AG32" s="250" t="str">
        <f ca="1">IFERROR(TEXT(HLOOKUP(AD32,'Mano de obra'!$L$23:$BP$25,3,TRUE),"d mmm"),"")</f>
        <v>2 Jun</v>
      </c>
      <c r="AH32" s="276" t="str">
        <f>IF((($N32)*100)&gt;='plan de producción'!AH$3,"x"," Material")</f>
        <v xml:space="preserve"> Material</v>
      </c>
      <c r="AI32" s="276" t="str">
        <f>IF((($N32)*100)&gt;='plan de producción'!AI$3,"x","Armar ")</f>
        <v xml:space="preserve">Armar </v>
      </c>
      <c r="AJ32" s="276" t="str">
        <f>IF((($N32)*100)&gt;='plan de producción'!AJ$3,"x"," Resoldar")</f>
        <v xml:space="preserve"> Resoldar</v>
      </c>
      <c r="AK32" s="276" t="str">
        <f>IF((($N32)*100)&gt;='plan de producción'!AK$3,"x"," Pulir")</f>
        <v xml:space="preserve"> Pulir</v>
      </c>
      <c r="AL32" s="276" t="str">
        <f>IF((($N32)*100)&gt;='plan de producción'!AL$3,"x","Pintar ")</f>
        <v xml:space="preserve">Pintar </v>
      </c>
      <c r="AM32" s="276" t="str">
        <f>IF((($N32)*100)&gt;='plan de producción'!AM$3,"x","Ensamblar ")</f>
        <v xml:space="preserve">Ensamblar </v>
      </c>
      <c r="AN32" s="276" t="str">
        <f>IF((($N32)*100)&gt;='plan de producción'!AN$3,"x"," Empacar")</f>
        <v xml:space="preserve"> Empacar</v>
      </c>
      <c r="AO32" s="216"/>
    </row>
    <row r="33" spans="1:41">
      <c r="A33" s="246" t="s">
        <v>150</v>
      </c>
      <c r="B33" s="388" t="s">
        <v>151</v>
      </c>
      <c r="C33" s="388" t="s">
        <v>141</v>
      </c>
      <c r="D33" s="388" t="s">
        <v>142</v>
      </c>
      <c r="E33" s="388"/>
      <c r="F33" s="388" t="s">
        <v>144</v>
      </c>
      <c r="G33" s="388"/>
      <c r="H33" s="388"/>
      <c r="I33" s="388"/>
      <c r="J33" s="388"/>
      <c r="K33" s="388"/>
      <c r="L33" s="388"/>
      <c r="M33" s="388" t="s">
        <v>152</v>
      </c>
      <c r="N33" s="247">
        <v>0.4</v>
      </c>
      <c r="Q33" s="386">
        <v>985</v>
      </c>
      <c r="R33" s="382" t="s">
        <v>516</v>
      </c>
      <c r="S33" s="382" t="s">
        <v>108</v>
      </c>
      <c r="T33" s="382" t="s">
        <v>441</v>
      </c>
      <c r="U33" s="382" t="s">
        <v>513</v>
      </c>
      <c r="V33" s="382" t="s">
        <v>514</v>
      </c>
      <c r="W33" s="387" t="s">
        <v>12</v>
      </c>
      <c r="X33" s="382"/>
      <c r="Y33" s="387">
        <v>2520000</v>
      </c>
      <c r="Z33" s="248">
        <f>IFERROR(VLOOKUP(S33,'Precios y materiales '!$A:$C,3,FALSE),"")</f>
        <v>2520000</v>
      </c>
      <c r="AA33" s="249">
        <f>(Y33*$AA$3)/'Mano de obra'!$C$9</f>
        <v>34.333088520602857</v>
      </c>
      <c r="AB33" s="249">
        <f t="shared" si="0"/>
        <v>20.599853112361714</v>
      </c>
      <c r="AC33" s="338">
        <f t="shared" si="1"/>
        <v>2.2888725680401905</v>
      </c>
      <c r="AD33" s="273">
        <f t="shared" si="2"/>
        <v>320.72300208311981</v>
      </c>
      <c r="AE33" s="158"/>
      <c r="AF33" t="s">
        <v>536</v>
      </c>
      <c r="AG33" s="250" t="str">
        <f ca="1">IFERROR(TEXT(HLOOKUP(AD33,'Mano de obra'!$L$23:$BP$25,3,TRUE),"d mmm"),"")</f>
        <v>2 Jun</v>
      </c>
      <c r="AH33" s="276" t="str">
        <f>IF((($N33)*100)&gt;='plan de producción'!AH$3,"x"," Material")</f>
        <v>x</v>
      </c>
      <c r="AI33" s="276" t="str">
        <f>IF((($N33)*100)&gt;='plan de producción'!AI$3,"x","Armar ")</f>
        <v>x</v>
      </c>
      <c r="AJ33" s="276" t="str">
        <f>IF((($N33)*100)&gt;='plan de producción'!AJ$3,"x"," Resoldar")</f>
        <v xml:space="preserve"> Resoldar</v>
      </c>
      <c r="AK33" s="276" t="str">
        <f>IF((($N33)*100)&gt;='plan de producción'!AK$3,"x"," Pulir")</f>
        <v xml:space="preserve"> Pulir</v>
      </c>
      <c r="AL33" s="276" t="str">
        <f>IF((($N33)*100)&gt;='plan de producción'!AL$3,"x","Pintar ")</f>
        <v xml:space="preserve">Pintar </v>
      </c>
      <c r="AM33" s="276" t="str">
        <f>IF((($N33)*100)&gt;='plan de producción'!AM$3,"x","Ensamblar ")</f>
        <v xml:space="preserve">Ensamblar </v>
      </c>
      <c r="AN33" s="276" t="str">
        <f>IF((($N33)*100)&gt;='plan de producción'!AN$3,"x"," Empacar")</f>
        <v xml:space="preserve"> Empacar</v>
      </c>
      <c r="AO33" s="216"/>
    </row>
    <row r="34" spans="1:41">
      <c r="A34" s="246"/>
      <c r="B34" s="388" t="s">
        <v>151</v>
      </c>
      <c r="C34" s="388" t="s">
        <v>141</v>
      </c>
      <c r="D34" s="388" t="s">
        <v>142</v>
      </c>
      <c r="E34" s="388"/>
      <c r="F34" s="388" t="s">
        <v>144</v>
      </c>
      <c r="G34" s="388"/>
      <c r="H34" s="388"/>
      <c r="I34" s="388"/>
      <c r="J34" s="388"/>
      <c r="K34" s="388"/>
      <c r="L34" s="388"/>
      <c r="M34" s="388" t="s">
        <v>152</v>
      </c>
      <c r="N34" s="247">
        <v>0.8</v>
      </c>
      <c r="Q34" s="386">
        <v>986</v>
      </c>
      <c r="R34" s="382" t="s">
        <v>516</v>
      </c>
      <c r="S34" s="382" t="s">
        <v>82</v>
      </c>
      <c r="T34" s="382" t="s">
        <v>83</v>
      </c>
      <c r="U34" s="382" t="s">
        <v>513</v>
      </c>
      <c r="V34" s="382" t="s">
        <v>514</v>
      </c>
      <c r="W34" s="387" t="s">
        <v>12</v>
      </c>
      <c r="X34" s="382"/>
      <c r="Y34" s="387">
        <v>1190000</v>
      </c>
      <c r="Z34" s="248">
        <f>IFERROR(VLOOKUP(S34,'Precios y materiales '!$A:$C,3,FALSE),"")</f>
        <v>1190000</v>
      </c>
      <c r="AA34" s="249">
        <f>(Y34*$AA$3)/'Mano de obra'!$C$9</f>
        <v>16.21284735695135</v>
      </c>
      <c r="AB34" s="249">
        <f t="shared" ref="AB34:AB41" si="3">AA34*(1-N34)</f>
        <v>3.2425694713902695</v>
      </c>
      <c r="AC34" s="338">
        <f t="shared" ref="AC34:AC41" si="4">AB34/9</f>
        <v>0.36028549682114108</v>
      </c>
      <c r="AD34" s="273">
        <f t="shared" si="2"/>
        <v>323.96557155451006</v>
      </c>
      <c r="AE34" s="158"/>
      <c r="AF34" t="s">
        <v>536</v>
      </c>
      <c r="AG34" s="250" t="str">
        <f ca="1">IFERROR(TEXT(HLOOKUP(AD34,'Mano de obra'!$L$23:$BP$25,3,TRUE),"d mmm"),"")</f>
        <v>2 Jun</v>
      </c>
      <c r="AH34" s="276" t="str">
        <f>IF((($N34)*100)&gt;='plan de producción'!AH$3,"x"," Material")</f>
        <v>x</v>
      </c>
      <c r="AI34" s="276" t="str">
        <f>IF((($N34)*100)&gt;='plan de producción'!AI$3,"x","Armar ")</f>
        <v>x</v>
      </c>
      <c r="AJ34" s="276" t="str">
        <f>IF((($N34)*100)&gt;='plan de producción'!AJ$3,"x"," Resoldar")</f>
        <v>x</v>
      </c>
      <c r="AK34" s="276" t="str">
        <f>IF((($N34)*100)&gt;='plan de producción'!AK$3,"x"," Pulir")</f>
        <v>x</v>
      </c>
      <c r="AL34" s="276" t="str">
        <f>IF((($N34)*100)&gt;='plan de producción'!AL$3,"x","Pintar ")</f>
        <v>x</v>
      </c>
      <c r="AM34" s="276" t="str">
        <f>IF((($N34)*100)&gt;='plan de producción'!AM$3,"x","Ensamblar ")</f>
        <v xml:space="preserve">Ensamblar </v>
      </c>
      <c r="AN34" s="276" t="str">
        <f>IF((($N34)*100)&gt;='plan de producción'!AN$3,"x"," Empacar")</f>
        <v xml:space="preserve"> Empacar</v>
      </c>
      <c r="AO34" s="216"/>
    </row>
    <row r="35" spans="1:41">
      <c r="A35" s="49" t="s">
        <v>150</v>
      </c>
      <c r="B35" s="49" t="s">
        <v>151</v>
      </c>
      <c r="C35" s="49" t="s">
        <v>141</v>
      </c>
      <c r="D35" s="49" t="s">
        <v>142</v>
      </c>
      <c r="E35" s="49" t="s">
        <v>143</v>
      </c>
      <c r="F35" s="49" t="s">
        <v>144</v>
      </c>
      <c r="G35" s="49" t="s">
        <v>145</v>
      </c>
      <c r="H35" s="49" t="s">
        <v>147</v>
      </c>
      <c r="I35" s="49" t="s">
        <v>149</v>
      </c>
      <c r="J35" s="49" t="s">
        <v>146</v>
      </c>
      <c r="K35" s="49" t="s">
        <v>148</v>
      </c>
      <c r="L35" s="49"/>
      <c r="M35" s="49" t="s">
        <v>152</v>
      </c>
      <c r="N35" s="247">
        <v>0.8</v>
      </c>
      <c r="Q35" s="331">
        <v>987</v>
      </c>
      <c r="R35" s="331" t="s">
        <v>523</v>
      </c>
      <c r="S35" s="332" t="s">
        <v>520</v>
      </c>
      <c r="T35" s="332" t="s">
        <v>519</v>
      </c>
      <c r="U35" s="333" t="s">
        <v>524</v>
      </c>
      <c r="V35" s="332" t="s">
        <v>213</v>
      </c>
      <c r="W35" s="332" t="s">
        <v>201</v>
      </c>
      <c r="X35" s="332"/>
      <c r="Y35" s="336">
        <v>2680000</v>
      </c>
      <c r="Z35" s="248">
        <f>IFERROR(VLOOKUP(S35,'Precios y materiales '!$A:$C,3,FALSE),"")</f>
        <v>2680000</v>
      </c>
      <c r="AA35" s="249">
        <f>(Y35*$AA$3)/'Mano de obra'!$C$9</f>
        <v>36.512967156831614</v>
      </c>
      <c r="AB35" s="249">
        <f t="shared" si="3"/>
        <v>7.3025934313663212</v>
      </c>
      <c r="AC35" s="338">
        <f t="shared" si="4"/>
        <v>0.81139927015181346</v>
      </c>
      <c r="AD35" s="273">
        <f t="shared" si="2"/>
        <v>331.26816498587641</v>
      </c>
      <c r="AE35" s="158"/>
      <c r="AF35" t="s">
        <v>536</v>
      </c>
      <c r="AG35" s="250" t="str">
        <f ca="1">IFERROR(TEXT(HLOOKUP(AD35,'Mano de obra'!$L$23:$BP$25,3,TRUE),"d mmm"),"")</f>
        <v>2 Jun</v>
      </c>
      <c r="AH35" s="276" t="str">
        <f>IF((($N35)*100)&gt;='plan de producción'!AH$3,"x"," Material")</f>
        <v>x</v>
      </c>
      <c r="AI35" s="276" t="str">
        <f>IF((($N35)*100)&gt;='plan de producción'!AI$3,"x","Armar ")</f>
        <v>x</v>
      </c>
      <c r="AJ35" s="276" t="str">
        <f>IF((($N35)*100)&gt;='plan de producción'!AJ$3,"x"," Resoldar")</f>
        <v>x</v>
      </c>
      <c r="AK35" s="276" t="str">
        <f>IF((($N35)*100)&gt;='plan de producción'!AK$3,"x"," Pulir")</f>
        <v>x</v>
      </c>
      <c r="AL35" s="276" t="str">
        <f>IF((($N35)*100)&gt;='plan de producción'!AL$3,"x","Pintar ")</f>
        <v>x</v>
      </c>
      <c r="AM35" s="276" t="str">
        <f>IF((($N35)*100)&gt;='plan de producción'!AM$3,"x","Ensamblar ")</f>
        <v xml:space="preserve">Ensamblar </v>
      </c>
      <c r="AN35" s="276" t="str">
        <f>IF((($N35)*100)&gt;='plan de producción'!AN$3,"x"," Empacar")</f>
        <v xml:space="preserve"> Empacar</v>
      </c>
      <c r="AO35" s="216"/>
    </row>
    <row r="36" spans="1:41">
      <c r="A36" s="49" t="s">
        <v>150</v>
      </c>
      <c r="B36" s="49" t="s">
        <v>151</v>
      </c>
      <c r="C36" s="49" t="s">
        <v>141</v>
      </c>
      <c r="D36" s="49" t="s">
        <v>142</v>
      </c>
      <c r="E36" s="49" t="s">
        <v>143</v>
      </c>
      <c r="F36" s="49" t="s">
        <v>144</v>
      </c>
      <c r="G36" s="49" t="s">
        <v>145</v>
      </c>
      <c r="H36" s="49" t="s">
        <v>147</v>
      </c>
      <c r="I36" s="49" t="s">
        <v>149</v>
      </c>
      <c r="J36" s="49" t="s">
        <v>146</v>
      </c>
      <c r="K36" s="49" t="s">
        <v>148</v>
      </c>
      <c r="L36" s="49"/>
      <c r="M36" s="49"/>
      <c r="N36" s="247">
        <v>0</v>
      </c>
      <c r="Q36">
        <v>988</v>
      </c>
      <c r="R36" t="s">
        <v>525</v>
      </c>
      <c r="S36" t="s">
        <v>527</v>
      </c>
      <c r="T36" t="str">
        <f>VLOOKUP(S36,'Precios y materiales '!$A$2:$B$147,2,FALSE)</f>
        <v>Halon de espalda con discos</v>
      </c>
      <c r="U36" s="131" t="s">
        <v>526</v>
      </c>
      <c r="V36" t="s">
        <v>265</v>
      </c>
      <c r="W36" s="204" t="s">
        <v>201</v>
      </c>
      <c r="Y36" s="392">
        <v>16809075</v>
      </c>
      <c r="Z36" s="248">
        <f>IFERROR(VLOOKUP(S36,'Precios y materiales '!$A:$C,3,FALSE),"")</f>
        <v>3151260.50420168</v>
      </c>
      <c r="AA36" s="249">
        <f>(Y36*$AA$3)/'Mano de obra'!$C$9</f>
        <v>229.01089679541766</v>
      </c>
      <c r="AB36" s="249">
        <f t="shared" si="3"/>
        <v>229.01089679541766</v>
      </c>
      <c r="AC36" s="338">
        <f t="shared" si="4"/>
        <v>25.445655199490851</v>
      </c>
      <c r="AD36" s="273">
        <f t="shared" si="2"/>
        <v>560.2790617812941</v>
      </c>
      <c r="AE36" s="158"/>
      <c r="AF36" t="s">
        <v>537</v>
      </c>
      <c r="AG36" s="250" t="str">
        <f ca="1">IFERROR(TEXT(HLOOKUP(AD36,'Mano de obra'!$L$23:$BP$25,3,TRUE),"d mmm"),"")</f>
        <v>8 Jun</v>
      </c>
      <c r="AH36" s="276" t="str">
        <f>IF((($N36)*100)&gt;='plan de producción'!AH$3,"x"," Material")</f>
        <v xml:space="preserve"> Material</v>
      </c>
      <c r="AI36" s="276" t="str">
        <f>IF((($N36)*100)&gt;='plan de producción'!AI$3,"x","Armar ")</f>
        <v xml:space="preserve">Armar </v>
      </c>
      <c r="AJ36" s="276" t="str">
        <f>IF((($N36)*100)&gt;='plan de producción'!AJ$3,"x"," Resoldar")</f>
        <v xml:space="preserve"> Resoldar</v>
      </c>
      <c r="AK36" s="276" t="str">
        <f>IF((($N36)*100)&gt;='plan de producción'!AK$3,"x"," Pulir")</f>
        <v xml:space="preserve"> Pulir</v>
      </c>
      <c r="AL36" s="276" t="str">
        <f>IF((($N36)*100)&gt;='plan de producción'!AL$3,"x","Pintar ")</f>
        <v xml:space="preserve">Pintar </v>
      </c>
      <c r="AM36" s="276" t="str">
        <f>IF((($N36)*100)&gt;='plan de producción'!AM$3,"x","Ensamblar ")</f>
        <v xml:space="preserve">Ensamblar </v>
      </c>
      <c r="AN36" s="276" t="str">
        <f>IF((($N36)*100)&gt;='plan de producción'!AN$3,"x"," Empacar")</f>
        <v xml:space="preserve"> Empacar</v>
      </c>
      <c r="AO36" s="216"/>
    </row>
    <row r="37" spans="1:41">
      <c r="A37" s="49" t="s">
        <v>150</v>
      </c>
      <c r="B37" s="49" t="s">
        <v>151</v>
      </c>
      <c r="C37" s="49" t="s">
        <v>141</v>
      </c>
      <c r="D37" s="49" t="s">
        <v>142</v>
      </c>
      <c r="E37" s="49" t="s">
        <v>143</v>
      </c>
      <c r="F37" s="49" t="s">
        <v>144</v>
      </c>
      <c r="G37" s="49" t="s">
        <v>145</v>
      </c>
      <c r="H37" s="49" t="s">
        <v>147</v>
      </c>
      <c r="I37" s="49" t="s">
        <v>149</v>
      </c>
      <c r="J37" s="49" t="s">
        <v>146</v>
      </c>
      <c r="K37" s="49" t="s">
        <v>148</v>
      </c>
      <c r="L37" s="49"/>
      <c r="M37" s="49"/>
      <c r="N37" s="247">
        <v>0</v>
      </c>
      <c r="Q37">
        <v>989</v>
      </c>
      <c r="R37" t="s">
        <v>525</v>
      </c>
      <c r="S37" t="s">
        <v>528</v>
      </c>
      <c r="T37" t="str">
        <f>VLOOKUP(S37,'Precios y materiales '!$A$2:$B$147,2,FALSE)</f>
        <v>Sentadilla con discos</v>
      </c>
      <c r="V37" t="s">
        <v>265</v>
      </c>
      <c r="W37" s="204" t="s">
        <v>201</v>
      </c>
      <c r="Y37" s="392">
        <v>3151260.50420168</v>
      </c>
      <c r="Z37" s="248">
        <f>IFERROR(VLOOKUP(S37,'Precios y materiales '!$A:$C,3,FALSE),"")</f>
        <v>3151260.50420168</v>
      </c>
      <c r="AA37" s="249">
        <f>(Y37*$AA$3)/'Mano de obra'!$C$9</f>
        <v>42.933534064379316</v>
      </c>
      <c r="AB37" s="249">
        <f t="shared" si="3"/>
        <v>42.933534064379316</v>
      </c>
      <c r="AC37" s="338">
        <f t="shared" si="4"/>
        <v>4.7703926738199236</v>
      </c>
      <c r="AD37" s="273">
        <f t="shared" si="2"/>
        <v>603.21259584567338</v>
      </c>
      <c r="AE37" s="158"/>
      <c r="AF37" t="s">
        <v>539</v>
      </c>
      <c r="AG37" s="250" t="str">
        <f ca="1">IFERROR(TEXT(HLOOKUP(AD37,'Mano de obra'!$L$23:$BP$25,3,TRUE),"d mmm"),"")</f>
        <v>9 Jun</v>
      </c>
      <c r="AH37" s="276" t="str">
        <f>IF((($N37)*100)&gt;='plan de producción'!AH$3,"x"," Material")</f>
        <v xml:space="preserve"> Material</v>
      </c>
      <c r="AI37" s="276" t="str">
        <f>IF((($N37)*100)&gt;='plan de producción'!AI$3,"x","Armar ")</f>
        <v xml:space="preserve">Armar </v>
      </c>
      <c r="AJ37" s="276" t="str">
        <f>IF((($N37)*100)&gt;='plan de producción'!AJ$3,"x"," Resoldar")</f>
        <v xml:space="preserve"> Resoldar</v>
      </c>
      <c r="AK37" s="276" t="str">
        <f>IF((($N37)*100)&gt;='plan de producción'!AK$3,"x"," Pulir")</f>
        <v xml:space="preserve"> Pulir</v>
      </c>
      <c r="AL37" s="276" t="str">
        <f>IF((($N37)*100)&gt;='plan de producción'!AL$3,"x","Pintar ")</f>
        <v xml:space="preserve">Pintar </v>
      </c>
      <c r="AM37" s="276" t="str">
        <f>IF((($N37)*100)&gt;='plan de producción'!AM$3,"x","Ensamblar ")</f>
        <v xml:space="preserve">Ensamblar </v>
      </c>
      <c r="AN37" s="276" t="str">
        <f>IF((($N37)*100)&gt;='plan de producción'!AN$3,"x"," Empacar")</f>
        <v xml:space="preserve"> Empacar</v>
      </c>
      <c r="AO37" s="216"/>
    </row>
    <row r="38" spans="1:41">
      <c r="A38" s="49" t="s">
        <v>150</v>
      </c>
      <c r="B38" s="49" t="s">
        <v>151</v>
      </c>
      <c r="C38" s="49" t="s">
        <v>141</v>
      </c>
      <c r="D38" s="49" t="s">
        <v>142</v>
      </c>
      <c r="E38" s="49" t="s">
        <v>143</v>
      </c>
      <c r="F38" s="49" t="s">
        <v>144</v>
      </c>
      <c r="G38" s="49" t="s">
        <v>145</v>
      </c>
      <c r="H38" s="49" t="s">
        <v>147</v>
      </c>
      <c r="I38" s="49" t="s">
        <v>149</v>
      </c>
      <c r="J38" s="49" t="s">
        <v>146</v>
      </c>
      <c r="K38" s="49" t="s">
        <v>148</v>
      </c>
      <c r="L38" s="49"/>
      <c r="M38" s="49"/>
      <c r="N38" s="247">
        <v>0</v>
      </c>
      <c r="Q38">
        <v>990</v>
      </c>
      <c r="R38" t="s">
        <v>525</v>
      </c>
      <c r="S38" t="s">
        <v>529</v>
      </c>
      <c r="T38" t="str">
        <f>VLOOKUP(S38,'Precios y materiales '!$A$2:$B$147,2,FALSE)</f>
        <v>Press de pecho con discos</v>
      </c>
      <c r="V38" t="s">
        <v>265</v>
      </c>
      <c r="W38" s="204" t="s">
        <v>201</v>
      </c>
      <c r="Y38" s="392">
        <v>3151260.50420168</v>
      </c>
      <c r="Z38" s="248">
        <f>IFERROR(VLOOKUP(S38,'Precios y materiales '!$A:$C,3,FALSE),"")</f>
        <v>3151260.50420168</v>
      </c>
      <c r="AA38" s="249">
        <f>(Y38*$AA$3)/'Mano de obra'!$C$9</f>
        <v>42.933534064379316</v>
      </c>
      <c r="AB38" s="249">
        <f t="shared" si="3"/>
        <v>42.933534064379316</v>
      </c>
      <c r="AC38" s="338">
        <f t="shared" si="4"/>
        <v>4.7703926738199236</v>
      </c>
      <c r="AD38" s="273">
        <f t="shared" si="2"/>
        <v>646.14612991005265</v>
      </c>
      <c r="AE38" s="158"/>
      <c r="AF38" t="s">
        <v>538</v>
      </c>
      <c r="AG38" s="250" t="str">
        <f ca="1">IFERROR(TEXT(HLOOKUP(AD38,'Mano de obra'!$L$23:$BP$25,3,TRUE),"d mmm"),"")</f>
        <v>9 Jun</v>
      </c>
      <c r="AH38" s="276" t="str">
        <f>IF((($N38)*100)&gt;='plan de producción'!AH$3,"x"," Material")</f>
        <v xml:space="preserve"> Material</v>
      </c>
      <c r="AI38" s="276" t="str">
        <f>IF((($N38)*100)&gt;='plan de producción'!AI$3,"x","Armar ")</f>
        <v xml:space="preserve">Armar </v>
      </c>
      <c r="AJ38" s="276" t="str">
        <f>IF((($N38)*100)&gt;='plan de producción'!AJ$3,"x"," Resoldar")</f>
        <v xml:space="preserve"> Resoldar</v>
      </c>
      <c r="AK38" s="276" t="str">
        <f>IF((($N38)*100)&gt;='plan de producción'!AK$3,"x"," Pulir")</f>
        <v xml:space="preserve"> Pulir</v>
      </c>
      <c r="AL38" s="276" t="str">
        <f>IF((($N38)*100)&gt;='plan de producción'!AL$3,"x","Pintar ")</f>
        <v xml:space="preserve">Pintar </v>
      </c>
      <c r="AM38" s="276" t="str">
        <f>IF((($N38)*100)&gt;='plan de producción'!AM$3,"x","Ensamblar ")</f>
        <v xml:space="preserve">Ensamblar </v>
      </c>
      <c r="AN38" s="276" t="str">
        <f>IF((($N38)*100)&gt;='plan de producción'!AN$3,"x"," Empacar")</f>
        <v xml:space="preserve"> Empacar</v>
      </c>
      <c r="AO38" s="216"/>
    </row>
    <row r="39" spans="1:41">
      <c r="A39" s="49" t="s">
        <v>150</v>
      </c>
      <c r="B39" s="49" t="s">
        <v>151</v>
      </c>
      <c r="C39" s="49" t="s">
        <v>141</v>
      </c>
      <c r="D39" s="49" t="s">
        <v>142</v>
      </c>
      <c r="E39" s="49" t="s">
        <v>143</v>
      </c>
      <c r="F39" s="49" t="s">
        <v>144</v>
      </c>
      <c r="G39" s="49" t="s">
        <v>145</v>
      </c>
      <c r="H39" s="49" t="s">
        <v>147</v>
      </c>
      <c r="I39" s="49" t="s">
        <v>149</v>
      </c>
      <c r="J39" s="49" t="s">
        <v>146</v>
      </c>
      <c r="K39" s="49" t="s">
        <v>148</v>
      </c>
      <c r="L39" s="49"/>
      <c r="M39" s="49"/>
      <c r="N39" s="247">
        <v>0</v>
      </c>
      <c r="Q39">
        <v>991</v>
      </c>
      <c r="R39" t="s">
        <v>525</v>
      </c>
      <c r="S39" t="s">
        <v>531</v>
      </c>
      <c r="T39" t="str">
        <f>VLOOKUP(S39,'Precios y materiales '!$A$2:$B$147,2,FALSE)</f>
        <v>Dominadas y Fondos bio</v>
      </c>
      <c r="V39" t="s">
        <v>265</v>
      </c>
      <c r="W39" s="204" t="s">
        <v>201</v>
      </c>
      <c r="Y39" s="392">
        <v>1841092</v>
      </c>
      <c r="Z39" s="248">
        <f>IFERROR(VLOOKUP(S39,'Precios y materiales '!$A:$C,3,FALSE),"")</f>
        <v>1841092</v>
      </c>
      <c r="AA39" s="249">
        <f>(Y39*$AA$3)/'Mano de obra'!$C$9</f>
        <v>25.083481988322919</v>
      </c>
      <c r="AB39" s="249">
        <f t="shared" si="3"/>
        <v>25.083481988322919</v>
      </c>
      <c r="AC39" s="338">
        <f t="shared" si="4"/>
        <v>2.7870535542581023</v>
      </c>
      <c r="AD39" s="273">
        <f t="shared" si="2"/>
        <v>671.22961189837554</v>
      </c>
      <c r="AE39" s="158"/>
      <c r="AF39" t="s">
        <v>538</v>
      </c>
      <c r="AG39" s="250" t="str">
        <f ca="1">IFERROR(TEXT(HLOOKUP(AD39,'Mano de obra'!$L$23:$BP$25,3,TRUE),"d mmm"),"")</f>
        <v>9 Jun</v>
      </c>
      <c r="AH39" s="276" t="str">
        <f>IF((($N39)*100)&gt;='plan de producción'!AH$3,"x"," Material")</f>
        <v xml:space="preserve"> Material</v>
      </c>
      <c r="AI39" s="276" t="str">
        <f>IF((($N39)*100)&gt;='plan de producción'!AI$3,"x","Armar ")</f>
        <v xml:space="preserve">Armar </v>
      </c>
      <c r="AJ39" s="276" t="str">
        <f>IF((($N39)*100)&gt;='plan de producción'!AJ$3,"x"," Resoldar")</f>
        <v xml:space="preserve"> Resoldar</v>
      </c>
      <c r="AK39" s="276" t="str">
        <f>IF((($N39)*100)&gt;='plan de producción'!AK$3,"x"," Pulir")</f>
        <v xml:space="preserve"> Pulir</v>
      </c>
      <c r="AL39" s="276" t="str">
        <f>IF((($N39)*100)&gt;='plan de producción'!AL$3,"x","Pintar ")</f>
        <v xml:space="preserve">Pintar </v>
      </c>
      <c r="AM39" s="276" t="str">
        <f>IF((($N39)*100)&gt;='plan de producción'!AM$3,"x","Ensamblar ")</f>
        <v xml:space="preserve">Ensamblar </v>
      </c>
      <c r="AN39" s="276" t="str">
        <f>IF((($N39)*100)&gt;='plan de producción'!AN$3,"x"," Empacar")</f>
        <v xml:space="preserve"> Empacar</v>
      </c>
      <c r="AO39" s="216"/>
    </row>
    <row r="40" spans="1:41">
      <c r="A40" s="49" t="s">
        <v>150</v>
      </c>
      <c r="B40" s="49" t="s">
        <v>151</v>
      </c>
      <c r="C40" s="49" t="s">
        <v>141</v>
      </c>
      <c r="D40" s="49" t="s">
        <v>142</v>
      </c>
      <c r="E40" s="49" t="s">
        <v>143</v>
      </c>
      <c r="F40" s="49" t="s">
        <v>144</v>
      </c>
      <c r="G40" s="49" t="s">
        <v>145</v>
      </c>
      <c r="H40" s="49" t="s">
        <v>147</v>
      </c>
      <c r="I40" s="49" t="s">
        <v>149</v>
      </c>
      <c r="J40" s="49" t="s">
        <v>146</v>
      </c>
      <c r="K40" s="49" t="s">
        <v>148</v>
      </c>
      <c r="L40" s="49"/>
      <c r="M40" s="49"/>
      <c r="N40" s="247">
        <v>0</v>
      </c>
      <c r="Q40">
        <v>992</v>
      </c>
      <c r="R40" t="s">
        <v>525</v>
      </c>
      <c r="S40" t="s">
        <v>465</v>
      </c>
      <c r="T40" t="str">
        <f>VLOOKUP(S40,'Precios y materiales '!$A$2:$B$147,2,FALSE)</f>
        <v>Banco Abdominal doble</v>
      </c>
      <c r="V40" t="s">
        <v>265</v>
      </c>
      <c r="W40" s="204" t="s">
        <v>201</v>
      </c>
      <c r="Y40" s="392">
        <v>2484790</v>
      </c>
      <c r="Z40" s="248">
        <f>IFERROR(VLOOKUP(S40,'Precios y materiales '!$A:$C,3,FALSE),"")</f>
        <v>2484790</v>
      </c>
      <c r="AA40" s="249">
        <f>(Y40*$AA$3)/'Mano de obra'!$C$9</f>
        <v>33.853378978217769</v>
      </c>
      <c r="AB40" s="249">
        <f t="shared" si="3"/>
        <v>33.853378978217769</v>
      </c>
      <c r="AC40" s="338">
        <f t="shared" si="4"/>
        <v>3.7614865531353079</v>
      </c>
      <c r="AD40" s="273">
        <f t="shared" si="2"/>
        <v>705.08299087659327</v>
      </c>
      <c r="AE40" s="158"/>
      <c r="AF40" t="s">
        <v>540</v>
      </c>
      <c r="AG40" s="250" t="str">
        <f ca="1">IFERROR(TEXT(HLOOKUP(AD40,'Mano de obra'!$L$23:$BP$25,3,TRUE),"d mmm"),"")</f>
        <v>10 Jun</v>
      </c>
      <c r="AH40" s="276" t="str">
        <f>IF((($N40)*100)&gt;='plan de producción'!AH$3,"x"," Material")</f>
        <v xml:space="preserve"> Material</v>
      </c>
      <c r="AI40" s="276" t="str">
        <f>IF((($N40)*100)&gt;='plan de producción'!AI$3,"x","Armar ")</f>
        <v xml:space="preserve">Armar </v>
      </c>
      <c r="AJ40" s="276" t="str">
        <f>IF((($N40)*100)&gt;='plan de producción'!AJ$3,"x"," Resoldar")</f>
        <v xml:space="preserve"> Resoldar</v>
      </c>
      <c r="AK40" s="276" t="str">
        <f>IF((($N40)*100)&gt;='plan de producción'!AK$3,"x"," Pulir")</f>
        <v xml:space="preserve"> Pulir</v>
      </c>
      <c r="AL40" s="276" t="str">
        <f>IF((($N40)*100)&gt;='plan de producción'!AL$3,"x","Pintar ")</f>
        <v xml:space="preserve">Pintar </v>
      </c>
      <c r="AM40" s="276" t="str">
        <f>IF((($N40)*100)&gt;='plan de producción'!AM$3,"x","Ensamblar ")</f>
        <v xml:space="preserve">Ensamblar </v>
      </c>
      <c r="AN40" s="276" t="str">
        <f>IF((($N40)*100)&gt;='plan de producción'!AN$3,"x"," Empacar")</f>
        <v xml:space="preserve"> Empacar</v>
      </c>
      <c r="AO40" s="216"/>
    </row>
    <row r="41" spans="1:41">
      <c r="A41" s="49" t="s">
        <v>150</v>
      </c>
      <c r="B41" s="49" t="s">
        <v>151</v>
      </c>
      <c r="C41" s="49" t="s">
        <v>141</v>
      </c>
      <c r="D41" s="49" t="s">
        <v>142</v>
      </c>
      <c r="E41" s="49" t="s">
        <v>143</v>
      </c>
      <c r="F41" s="49" t="s">
        <v>144</v>
      </c>
      <c r="G41" s="49" t="s">
        <v>145</v>
      </c>
      <c r="H41" s="49" t="s">
        <v>147</v>
      </c>
      <c r="I41" s="49" t="s">
        <v>149</v>
      </c>
      <c r="J41" s="49" t="s">
        <v>146</v>
      </c>
      <c r="K41" s="49" t="s">
        <v>148</v>
      </c>
      <c r="L41" s="49"/>
      <c r="M41" s="49"/>
      <c r="N41" s="247">
        <v>0</v>
      </c>
      <c r="Q41">
        <v>993</v>
      </c>
      <c r="R41" t="s">
        <v>525</v>
      </c>
      <c r="S41" t="s">
        <v>530</v>
      </c>
      <c r="T41" t="str">
        <f>VLOOKUP(S41,'Precios y materiales '!$A$2:$B$147,2,FALSE)</f>
        <v>Press de Pierna con discos</v>
      </c>
      <c r="V41" t="s">
        <v>265</v>
      </c>
      <c r="W41" s="204" t="s">
        <v>201</v>
      </c>
      <c r="Y41" s="392">
        <v>3163386</v>
      </c>
      <c r="Z41" s="248">
        <f>IFERROR(VLOOKUP(S41,'Precios y materiales '!$A:$C,3,FALSE),"")</f>
        <v>3163386</v>
      </c>
      <c r="AA41" s="249">
        <f>(Y41*$AA$3)/'Mano de obra'!$C$9</f>
        <v>43.09873474715706</v>
      </c>
      <c r="AB41" s="249">
        <f t="shared" si="3"/>
        <v>43.09873474715706</v>
      </c>
      <c r="AC41" s="338">
        <f t="shared" si="4"/>
        <v>4.7887483052396735</v>
      </c>
      <c r="AD41" s="273">
        <f t="shared" si="2"/>
        <v>748.18172562375037</v>
      </c>
      <c r="AE41" s="158"/>
      <c r="AF41" t="s">
        <v>540</v>
      </c>
      <c r="AG41" s="250" t="str">
        <f ca="1">IFERROR(TEXT(HLOOKUP(AD41,'Mano de obra'!$L$23:$BP$25,3,TRUE),"d mmm"),"")</f>
        <v>11 Jun</v>
      </c>
      <c r="AH41" s="276" t="str">
        <f>IF((($N41)*100)&gt;='plan de producción'!AH$3,"x"," Material")</f>
        <v xml:space="preserve"> Material</v>
      </c>
      <c r="AI41" s="276" t="str">
        <f>IF((($N41)*100)&gt;='plan de producción'!AI$3,"x","Armar ")</f>
        <v xml:space="preserve">Armar </v>
      </c>
      <c r="AJ41" s="276" t="str">
        <f>IF((($N41)*100)&gt;='plan de producción'!AJ$3,"x"," Resoldar")</f>
        <v xml:space="preserve"> Resoldar</v>
      </c>
      <c r="AK41" s="276" t="str">
        <f>IF((($N41)*100)&gt;='plan de producción'!AK$3,"x"," Pulir")</f>
        <v xml:space="preserve"> Pulir</v>
      </c>
      <c r="AL41" s="276" t="str">
        <f>IF((($N41)*100)&gt;='plan de producción'!AL$3,"x","Pintar ")</f>
        <v xml:space="preserve">Pintar </v>
      </c>
      <c r="AM41" s="276" t="str">
        <f>IF((($N41)*100)&gt;='plan de producción'!AM$3,"x","Ensamblar ")</f>
        <v xml:space="preserve">Ensamblar </v>
      </c>
      <c r="AN41" s="276" t="str">
        <f>IF((($N41)*100)&gt;='plan de producción'!AN$3,"x"," Empacar")</f>
        <v xml:space="preserve"> Empacar</v>
      </c>
      <c r="AO41" s="216"/>
    </row>
    <row r="42" spans="1:41">
      <c r="A42" s="49" t="s">
        <v>150</v>
      </c>
      <c r="B42" s="49" t="s">
        <v>151</v>
      </c>
      <c r="C42" s="49" t="s">
        <v>141</v>
      </c>
      <c r="D42" s="49" t="s">
        <v>142</v>
      </c>
      <c r="E42" s="49" t="s">
        <v>143</v>
      </c>
      <c r="F42" s="49" t="s">
        <v>144</v>
      </c>
      <c r="G42" s="49" t="s">
        <v>145</v>
      </c>
      <c r="H42" s="49"/>
      <c r="I42" s="49" t="s">
        <v>149</v>
      </c>
      <c r="J42" s="49" t="s">
        <v>146</v>
      </c>
      <c r="K42" s="49" t="s">
        <v>148</v>
      </c>
      <c r="L42" s="49"/>
      <c r="M42" s="49"/>
      <c r="N42" s="247">
        <v>0</v>
      </c>
      <c r="Q42" s="394">
        <v>994</v>
      </c>
      <c r="R42" s="394" t="s">
        <v>535</v>
      </c>
      <c r="S42" s="394" t="s">
        <v>532</v>
      </c>
      <c r="T42" s="394" t="str">
        <f>VLOOKUP(S42,'Precios y materiales '!$A$2:$B$147,2,FALSE)</f>
        <v>Sentadilla Smith con Poleas 2.0</v>
      </c>
      <c r="U42" s="394"/>
      <c r="V42" t="s">
        <v>533</v>
      </c>
      <c r="W42" s="204" t="s">
        <v>12</v>
      </c>
      <c r="Y42" s="392">
        <v>9600000</v>
      </c>
      <c r="Z42" s="248">
        <f>IFERROR(VLOOKUP(S42,'Precios y materiales '!$A:$C,3,FALSE),"")</f>
        <v>9600000</v>
      </c>
      <c r="AA42" s="249">
        <f>(Y42*$AA$3)/'Mano de obra'!$C$9</f>
        <v>130.79271817372518</v>
      </c>
      <c r="AB42" s="249">
        <f t="shared" ref="AB42:AB46" si="5">AA42*(1-N42)</f>
        <v>130.79271817372518</v>
      </c>
      <c r="AC42" s="338">
        <f t="shared" ref="AC42:AC46" si="6">AB42/9</f>
        <v>14.532524241525019</v>
      </c>
      <c r="AD42" s="273">
        <f t="shared" si="2"/>
        <v>878.97444379747549</v>
      </c>
      <c r="AE42" s="158"/>
      <c r="AF42" t="s">
        <v>541</v>
      </c>
      <c r="AG42" s="250" t="str">
        <f ca="1">IFERROR(TEXT(HLOOKUP(AD42,'Mano de obra'!$L$23:$BP$25,3,TRUE),"d mmm"),"")</f>
        <v>15 Jun</v>
      </c>
      <c r="AH42" s="276" t="str">
        <f>IF((($N42)*100)&gt;='plan de producción'!AH$3,"x"," Material")</f>
        <v xml:space="preserve"> Material</v>
      </c>
      <c r="AI42" s="276" t="str">
        <f>IF((($N42)*100)&gt;='plan de producción'!AI$3,"x","Armar ")</f>
        <v xml:space="preserve">Armar </v>
      </c>
      <c r="AJ42" s="276" t="str">
        <f>IF((($N42)*100)&gt;='plan de producción'!AJ$3,"x"," Resoldar")</f>
        <v xml:space="preserve"> Resoldar</v>
      </c>
      <c r="AK42" s="276" t="str">
        <f>IF((($N42)*100)&gt;='plan de producción'!AK$3,"x"," Pulir")</f>
        <v xml:space="preserve"> Pulir</v>
      </c>
      <c r="AL42" s="276" t="str">
        <f>IF((($N42)*100)&gt;='plan de producción'!AL$3,"x","Pintar ")</f>
        <v xml:space="preserve">Pintar </v>
      </c>
      <c r="AM42" s="276" t="str">
        <f>IF((($N42)*100)&gt;='plan de producción'!AM$3,"x","Ensamblar ")</f>
        <v xml:space="preserve">Ensamblar </v>
      </c>
      <c r="AN42" s="276" t="str">
        <f>IF((($N42)*100)&gt;='plan de producción'!AN$3,"x"," Empacar")</f>
        <v xml:space="preserve"> Empacar</v>
      </c>
      <c r="AO42" s="216"/>
    </row>
    <row r="43" spans="1:41">
      <c r="A43" s="49" t="s">
        <v>150</v>
      </c>
      <c r="B43" s="49" t="s">
        <v>151</v>
      </c>
      <c r="C43" s="49" t="s">
        <v>141</v>
      </c>
      <c r="D43" s="49" t="s">
        <v>142</v>
      </c>
      <c r="E43" s="49" t="s">
        <v>143</v>
      </c>
      <c r="F43" s="49" t="s">
        <v>144</v>
      </c>
      <c r="G43" s="49" t="s">
        <v>145</v>
      </c>
      <c r="H43" s="49" t="s">
        <v>147</v>
      </c>
      <c r="I43" s="49" t="s">
        <v>149</v>
      </c>
      <c r="J43" s="49" t="s">
        <v>146</v>
      </c>
      <c r="K43" s="49" t="s">
        <v>148</v>
      </c>
      <c r="L43" s="49"/>
      <c r="M43" s="49"/>
      <c r="N43" s="247">
        <v>0</v>
      </c>
      <c r="Q43">
        <v>995</v>
      </c>
      <c r="R43" t="s">
        <v>534</v>
      </c>
      <c r="S43" t="s">
        <v>466</v>
      </c>
      <c r="T43" t="str">
        <f>VLOOKUP(S43,'Precios y materiales '!$A$2:$B$147,2,FALSE)</f>
        <v>Circuito de calistenia #2</v>
      </c>
      <c r="V43" t="s">
        <v>265</v>
      </c>
      <c r="W43" s="204" t="s">
        <v>201</v>
      </c>
      <c r="Y43" s="392">
        <v>11008403</v>
      </c>
      <c r="Z43" s="248">
        <f>IFERROR(VLOOKUP(S43,'Precios y materiales '!$A:$C,3,FALSE),"")</f>
        <v>0</v>
      </c>
      <c r="AA43" s="249">
        <f>(Y43*$AA$3)/'Mano de obra'!$C$9</f>
        <v>149.98114074185321</v>
      </c>
      <c r="AB43" s="249">
        <f t="shared" si="5"/>
        <v>149.98114074185321</v>
      </c>
      <c r="AC43" s="338">
        <f t="shared" si="6"/>
        <v>16.664571193539246</v>
      </c>
      <c r="AD43" s="273">
        <f t="shared" si="2"/>
        <v>1028.9555845393288</v>
      </c>
      <c r="AE43" s="158"/>
      <c r="AF43" t="s">
        <v>542</v>
      </c>
      <c r="AG43" s="250" t="str">
        <f ca="1">IFERROR(TEXT(HLOOKUP(AD43,'Mano de obra'!$L$23:$BP$25,3,TRUE),"d mmm"),"")</f>
        <v>17 Jun</v>
      </c>
      <c r="AH43" s="276" t="str">
        <f>IF((($N43)*100)&gt;='plan de producción'!AH$3,"x"," Material")</f>
        <v xml:space="preserve"> Material</v>
      </c>
      <c r="AI43" s="276" t="str">
        <f>IF((($N43)*100)&gt;='plan de producción'!AI$3,"x","Armar ")</f>
        <v xml:space="preserve">Armar </v>
      </c>
      <c r="AJ43" s="276" t="str">
        <f>IF((($N43)*100)&gt;='plan de producción'!AJ$3,"x"," Resoldar")</f>
        <v xml:space="preserve"> Resoldar</v>
      </c>
      <c r="AK43" s="276" t="str">
        <f>IF((($N43)*100)&gt;='plan de producción'!AK$3,"x"," Pulir")</f>
        <v xml:space="preserve"> Pulir</v>
      </c>
      <c r="AL43" s="276" t="str">
        <f>IF((($N43)*100)&gt;='plan de producción'!AL$3,"x","Pintar ")</f>
        <v xml:space="preserve">Pintar </v>
      </c>
      <c r="AM43" s="276" t="str">
        <f>IF((($N43)*100)&gt;='plan de producción'!AM$3,"x","Ensamblar ")</f>
        <v xml:space="preserve">Ensamblar </v>
      </c>
      <c r="AN43" s="276" t="str">
        <f>IF((($N43)*100)&gt;='plan de producción'!AN$3,"x"," Empacar")</f>
        <v xml:space="preserve"> Empacar</v>
      </c>
      <c r="AO43" s="216"/>
    </row>
    <row r="44" spans="1:41">
      <c r="A44" s="49" t="s">
        <v>150</v>
      </c>
      <c r="B44" s="49" t="s">
        <v>151</v>
      </c>
      <c r="C44" s="49" t="s">
        <v>141</v>
      </c>
      <c r="D44" s="49" t="s">
        <v>142</v>
      </c>
      <c r="E44" s="49" t="s">
        <v>143</v>
      </c>
      <c r="F44" s="49" t="s">
        <v>144</v>
      </c>
      <c r="G44" s="49" t="s">
        <v>145</v>
      </c>
      <c r="H44" s="49"/>
      <c r="I44" s="49" t="s">
        <v>149</v>
      </c>
      <c r="J44" s="49" t="s">
        <v>146</v>
      </c>
      <c r="K44" s="49" t="s">
        <v>148</v>
      </c>
      <c r="L44" s="49"/>
      <c r="M44" s="49"/>
      <c r="N44" s="247">
        <v>0</v>
      </c>
      <c r="Q44">
        <v>996</v>
      </c>
      <c r="R44" t="s">
        <v>534</v>
      </c>
      <c r="S44" t="s">
        <v>527</v>
      </c>
      <c r="T44" t="str">
        <f>VLOOKUP(S44,'Precios y materiales '!$A$2:$B$147,2,FALSE)</f>
        <v>Halon de espalda con discos</v>
      </c>
      <c r="V44" t="s">
        <v>265</v>
      </c>
      <c r="W44" s="204" t="s">
        <v>201</v>
      </c>
      <c r="Y44" s="392">
        <v>3151260.50420168</v>
      </c>
      <c r="Z44" s="248">
        <f>IFERROR(VLOOKUP(S44,'Precios y materiales '!$A:$C,3,FALSE),"")</f>
        <v>3151260.50420168</v>
      </c>
      <c r="AA44" s="249">
        <f>(Y44*$AA$3)/'Mano de obra'!$C$9</f>
        <v>42.933534064379316</v>
      </c>
      <c r="AB44" s="249">
        <f t="shared" si="5"/>
        <v>42.933534064379316</v>
      </c>
      <c r="AC44" s="338">
        <f t="shared" si="6"/>
        <v>4.7703926738199236</v>
      </c>
      <c r="AD44" s="273">
        <f t="shared" si="2"/>
        <v>1071.8891186037081</v>
      </c>
      <c r="AE44" s="158"/>
      <c r="AF44" t="s">
        <v>542</v>
      </c>
      <c r="AG44" s="250" t="str">
        <f ca="1">IFERROR(TEXT(HLOOKUP(AD44,'Mano de obra'!$L$23:$BP$25,3,TRUE),"d mmm"),"")</f>
        <v>17 Jun</v>
      </c>
      <c r="AH44" s="276" t="str">
        <f>IF((($N44)*100)&gt;='plan de producción'!AH$3,"x"," Material")</f>
        <v xml:space="preserve"> Material</v>
      </c>
      <c r="AI44" s="276" t="str">
        <f>IF((($N44)*100)&gt;='plan de producción'!AI$3,"x","Armar ")</f>
        <v xml:space="preserve">Armar </v>
      </c>
      <c r="AJ44" s="276" t="str">
        <f>IF((($N44)*100)&gt;='plan de producción'!AJ$3,"x"," Resoldar")</f>
        <v xml:space="preserve"> Resoldar</v>
      </c>
      <c r="AK44" s="276" t="str">
        <f>IF((($N44)*100)&gt;='plan de producción'!AK$3,"x"," Pulir")</f>
        <v xml:space="preserve"> Pulir</v>
      </c>
      <c r="AL44" s="276" t="str">
        <f>IF((($N44)*100)&gt;='plan de producción'!AL$3,"x","Pintar ")</f>
        <v xml:space="preserve">Pintar </v>
      </c>
      <c r="AM44" s="276" t="str">
        <f>IF((($N44)*100)&gt;='plan de producción'!AM$3,"x","Ensamblar ")</f>
        <v xml:space="preserve">Ensamblar </v>
      </c>
      <c r="AN44" s="276" t="str">
        <f>IF((($N44)*100)&gt;='plan de producción'!AN$3,"x"," Empacar")</f>
        <v xml:space="preserve"> Empacar</v>
      </c>
      <c r="AO44" s="216"/>
    </row>
    <row r="45" spans="1:41">
      <c r="A45" s="49" t="s">
        <v>150</v>
      </c>
      <c r="B45" s="49" t="s">
        <v>151</v>
      </c>
      <c r="C45" s="49" t="s">
        <v>141</v>
      </c>
      <c r="D45" s="49" t="s">
        <v>142</v>
      </c>
      <c r="E45" s="49" t="s">
        <v>143</v>
      </c>
      <c r="F45" s="49" t="s">
        <v>144</v>
      </c>
      <c r="G45" s="49" t="s">
        <v>145</v>
      </c>
      <c r="H45" s="49" t="s">
        <v>147</v>
      </c>
      <c r="I45" s="49" t="s">
        <v>149</v>
      </c>
      <c r="J45" s="49" t="s">
        <v>146</v>
      </c>
      <c r="K45" s="49" t="s">
        <v>148</v>
      </c>
      <c r="L45" s="49"/>
      <c r="M45" s="49"/>
      <c r="N45" s="247">
        <v>0</v>
      </c>
      <c r="Q45">
        <v>997</v>
      </c>
      <c r="R45" t="s">
        <v>534</v>
      </c>
      <c r="S45" t="s">
        <v>528</v>
      </c>
      <c r="T45" t="str">
        <f>VLOOKUP(S45,'Precios y materiales '!$A$2:$B$147,2,FALSE)</f>
        <v>Sentadilla con discos</v>
      </c>
      <c r="V45" t="s">
        <v>265</v>
      </c>
      <c r="W45" s="204" t="s">
        <v>201</v>
      </c>
      <c r="Y45" s="392">
        <v>3151260.50420168</v>
      </c>
      <c r="Z45" s="248">
        <f>IFERROR(VLOOKUP(S45,'Precios y materiales '!$A:$C,3,FALSE),"")</f>
        <v>3151260.50420168</v>
      </c>
      <c r="AA45" s="249">
        <f>(Y45*$AA$3)/'Mano de obra'!$C$9</f>
        <v>42.933534064379316</v>
      </c>
      <c r="AB45" s="249">
        <f t="shared" si="5"/>
        <v>42.933534064379316</v>
      </c>
      <c r="AC45" s="338">
        <f t="shared" si="6"/>
        <v>4.7703926738199236</v>
      </c>
      <c r="AD45" s="273">
        <f t="shared" si="2"/>
        <v>1114.8226526680874</v>
      </c>
      <c r="AE45" s="158"/>
      <c r="AF45" t="s">
        <v>543</v>
      </c>
      <c r="AG45" s="250" t="str">
        <f ca="1">IFERROR(TEXT(HLOOKUP(AD45,'Mano de obra'!$L$23:$BP$25,3,TRUE),"d mmm"),"")</f>
        <v>18 Jun</v>
      </c>
      <c r="AH45" s="276" t="str">
        <f>IF((($N45)*100)&gt;='plan de producción'!AH$3,"x"," Material")</f>
        <v xml:space="preserve"> Material</v>
      </c>
      <c r="AI45" s="276" t="str">
        <f>IF((($N45)*100)&gt;='plan de producción'!AI$3,"x","Armar ")</f>
        <v xml:space="preserve">Armar </v>
      </c>
      <c r="AJ45" s="276" t="str">
        <f>IF((($N45)*100)&gt;='plan de producción'!AJ$3,"x"," Resoldar")</f>
        <v xml:space="preserve"> Resoldar</v>
      </c>
      <c r="AK45" s="276" t="str">
        <f>IF((($N45)*100)&gt;='plan de producción'!AK$3,"x"," Pulir")</f>
        <v xml:space="preserve"> Pulir</v>
      </c>
      <c r="AL45" s="276" t="str">
        <f>IF((($N45)*100)&gt;='plan de producción'!AL$3,"x","Pintar ")</f>
        <v xml:space="preserve">Pintar </v>
      </c>
      <c r="AM45" s="276" t="str">
        <f>IF((($N45)*100)&gt;='plan de producción'!AM$3,"x","Ensamblar ")</f>
        <v xml:space="preserve">Ensamblar </v>
      </c>
      <c r="AN45" s="276" t="str">
        <f>IF((($N45)*100)&gt;='plan de producción'!AN$3,"x"," Empacar")</f>
        <v xml:space="preserve"> Empacar</v>
      </c>
      <c r="AO45" s="216"/>
    </row>
    <row r="46" spans="1:41">
      <c r="A46" s="49" t="s">
        <v>150</v>
      </c>
      <c r="B46" s="49" t="s">
        <v>151</v>
      </c>
      <c r="C46" s="49" t="s">
        <v>141</v>
      </c>
      <c r="D46" s="49" t="s">
        <v>142</v>
      </c>
      <c r="E46" s="49" t="s">
        <v>143</v>
      </c>
      <c r="F46" s="49" t="s">
        <v>144</v>
      </c>
      <c r="G46" s="49" t="s">
        <v>145</v>
      </c>
      <c r="H46" s="49"/>
      <c r="I46" s="49" t="s">
        <v>149</v>
      </c>
      <c r="J46" s="49" t="s">
        <v>146</v>
      </c>
      <c r="K46" s="49" t="s">
        <v>148</v>
      </c>
      <c r="L46" s="49"/>
      <c r="M46" s="49"/>
      <c r="N46" s="247">
        <v>0</v>
      </c>
      <c r="Q46">
        <v>998</v>
      </c>
      <c r="R46" t="s">
        <v>534</v>
      </c>
      <c r="S46" t="s">
        <v>529</v>
      </c>
      <c r="T46" t="str">
        <f>VLOOKUP(S46,'Precios y materiales '!$A$2:$B$147,2,FALSE)</f>
        <v>Press de pecho con discos</v>
      </c>
      <c r="V46" t="s">
        <v>265</v>
      </c>
      <c r="W46" s="204" t="s">
        <v>201</v>
      </c>
      <c r="Y46" s="392">
        <v>3151260.50420168</v>
      </c>
      <c r="Z46" s="248">
        <f>IFERROR(VLOOKUP(S46,'Precios y materiales '!$A:$C,3,FALSE),"")</f>
        <v>3151260.50420168</v>
      </c>
      <c r="AA46" s="249">
        <f>(Y46*$AA$3)/'Mano de obra'!$C$9</f>
        <v>42.933534064379316</v>
      </c>
      <c r="AB46" s="249">
        <f t="shared" si="5"/>
        <v>42.933534064379316</v>
      </c>
      <c r="AC46" s="338">
        <f t="shared" si="6"/>
        <v>4.7703926738199236</v>
      </c>
      <c r="AD46" s="273">
        <f t="shared" si="2"/>
        <v>1157.7561867324666</v>
      </c>
      <c r="AE46" s="158"/>
      <c r="AF46" t="s">
        <v>543</v>
      </c>
      <c r="AG46" s="250" t="str">
        <f ca="1">IFERROR(TEXT(HLOOKUP(AD46,'Mano de obra'!$L$23:$BP$25,3,TRUE),"d mmm"),"")</f>
        <v>21 Jun</v>
      </c>
      <c r="AH46" s="276" t="str">
        <f>IF((($N46)*100)&gt;='plan de producción'!AH$3,"x"," Material")</f>
        <v xml:space="preserve"> Material</v>
      </c>
      <c r="AI46" s="276" t="str">
        <f>IF((($N46)*100)&gt;='plan de producción'!AI$3,"x","Armar ")</f>
        <v xml:space="preserve">Armar </v>
      </c>
      <c r="AJ46" s="276" t="str">
        <f>IF((($N46)*100)&gt;='plan de producción'!AJ$3,"x"," Resoldar")</f>
        <v xml:space="preserve"> Resoldar</v>
      </c>
      <c r="AK46" s="276" t="str">
        <f>IF((($N46)*100)&gt;='plan de producción'!AK$3,"x"," Pulir")</f>
        <v xml:space="preserve"> Pulir</v>
      </c>
      <c r="AL46" s="276" t="str">
        <f>IF((($N46)*100)&gt;='plan de producción'!AL$3,"x","Pintar ")</f>
        <v xml:space="preserve">Pintar </v>
      </c>
      <c r="AM46" s="276" t="str">
        <f>IF((($N46)*100)&gt;='plan de producción'!AM$3,"x","Ensamblar ")</f>
        <v xml:space="preserve">Ensamblar </v>
      </c>
      <c r="AN46" s="276" t="str">
        <f>IF((($N46)*100)&gt;='plan de producción'!AN$3,"x"," Empacar")</f>
        <v xml:space="preserve"> Empacar</v>
      </c>
      <c r="AO46" s="216"/>
    </row>
    <row r="47" spans="1:41">
      <c r="A47" s="49" t="s">
        <v>150</v>
      </c>
      <c r="B47" s="49" t="s">
        <v>151</v>
      </c>
      <c r="C47" s="49" t="s">
        <v>141</v>
      </c>
      <c r="D47" s="49" t="s">
        <v>142</v>
      </c>
      <c r="E47" s="49" t="s">
        <v>143</v>
      </c>
      <c r="F47" s="49" t="s">
        <v>144</v>
      </c>
      <c r="G47" s="49" t="s">
        <v>145</v>
      </c>
      <c r="H47" s="49" t="s">
        <v>147</v>
      </c>
      <c r="I47" s="49" t="s">
        <v>149</v>
      </c>
      <c r="J47" s="49" t="s">
        <v>146</v>
      </c>
      <c r="K47" s="49" t="s">
        <v>148</v>
      </c>
      <c r="L47" s="49"/>
      <c r="M47" s="49"/>
      <c r="N47" s="247">
        <v>0</v>
      </c>
      <c r="Q47">
        <v>999</v>
      </c>
      <c r="R47" t="s">
        <v>549</v>
      </c>
      <c r="S47" t="s">
        <v>413</v>
      </c>
      <c r="T47" t="str">
        <f>VLOOKUP(S47,'Precios y materiales '!$A$2:$B$147,2,FALSE)</f>
        <v>Sentadilla Bulgara</v>
      </c>
      <c r="U47" t="s">
        <v>548</v>
      </c>
      <c r="V47" t="s">
        <v>213</v>
      </c>
      <c r="W47" s="204" t="s">
        <v>515</v>
      </c>
      <c r="Y47" s="392">
        <v>490000</v>
      </c>
      <c r="Z47" s="248">
        <f>IFERROR(VLOOKUP(S47,'Precios y materiales '!$A:$C,3,FALSE),"")</f>
        <v>490000</v>
      </c>
      <c r="AA47" s="249">
        <f>(Y47*$AA$3)/'Mano de obra'!$C$9</f>
        <v>6.6758783234505561</v>
      </c>
      <c r="AB47" s="249">
        <f t="shared" ref="AB47:AB49" si="7">AA47*(1-N47)</f>
        <v>6.6758783234505561</v>
      </c>
      <c r="AC47" s="338">
        <f t="shared" ref="AC47:AC49" si="8">AB47/9</f>
        <v>0.74176425816117286</v>
      </c>
      <c r="AD47" s="273">
        <f t="shared" ref="AD47:AD49" si="9">AD46+(AA47*(1-N47))</f>
        <v>1164.4320650559173</v>
      </c>
      <c r="AE47" s="158"/>
      <c r="AF47" s="390">
        <v>46190</v>
      </c>
      <c r="AG47" s="250" t="str">
        <f ca="1">IFERROR(TEXT(HLOOKUP(AD47,'Mano de obra'!$L$23:$BP$25,3,TRUE),"d mmm"),"")</f>
        <v>21 Jun</v>
      </c>
    </row>
    <row r="48" spans="1:41">
      <c r="A48" s="49" t="s">
        <v>150</v>
      </c>
      <c r="B48" s="49" t="s">
        <v>151</v>
      </c>
      <c r="C48" s="49" t="s">
        <v>141</v>
      </c>
      <c r="D48" s="49" t="s">
        <v>142</v>
      </c>
      <c r="E48" s="49" t="s">
        <v>143</v>
      </c>
      <c r="F48" s="49" t="s">
        <v>144</v>
      </c>
      <c r="G48" s="49" t="s">
        <v>145</v>
      </c>
      <c r="H48" s="49"/>
      <c r="I48" s="49" t="s">
        <v>149</v>
      </c>
      <c r="J48" s="49" t="s">
        <v>146</v>
      </c>
      <c r="K48" s="49" t="s">
        <v>148</v>
      </c>
      <c r="L48" s="49"/>
      <c r="M48" s="49"/>
      <c r="N48" s="247">
        <v>0</v>
      </c>
      <c r="Q48">
        <v>500</v>
      </c>
      <c r="R48" t="s">
        <v>549</v>
      </c>
      <c r="S48" t="s">
        <v>546</v>
      </c>
      <c r="T48" t="str">
        <f>VLOOKUP(S48,'Precios y materiales '!$A$2:$B$147,2,FALSE)</f>
        <v>Polea Alta</v>
      </c>
      <c r="U48" t="s">
        <v>548</v>
      </c>
      <c r="V48" t="s">
        <v>213</v>
      </c>
      <c r="W48" s="204" t="s">
        <v>515</v>
      </c>
      <c r="Y48" s="392">
        <v>3890000</v>
      </c>
      <c r="Z48" s="248">
        <f>IFERROR(VLOOKUP(S48,'Precios y materiales '!$A:$C,3,FALSE),"")</f>
        <v>3890000</v>
      </c>
      <c r="AA48" s="249">
        <f>(Y48*$AA$3)/'Mano de obra'!$C$9</f>
        <v>52.998299343311558</v>
      </c>
      <c r="AB48" s="249">
        <f t="shared" si="7"/>
        <v>52.998299343311558</v>
      </c>
      <c r="AC48" s="338">
        <f t="shared" si="8"/>
        <v>5.8886999270346179</v>
      </c>
      <c r="AD48" s="273">
        <f t="shared" si="9"/>
        <v>1217.4303643992289</v>
      </c>
      <c r="AE48" s="158"/>
      <c r="AF48" s="390">
        <v>46191</v>
      </c>
      <c r="AG48" s="250" t="str">
        <f ca="1">IFERROR(TEXT(HLOOKUP(AD48,'Mano de obra'!$L$23:$BP$25,3,TRUE),"d mmm"),"")</f>
        <v>22 Jun</v>
      </c>
    </row>
    <row r="49" spans="1:33">
      <c r="A49" s="49" t="s">
        <v>150</v>
      </c>
      <c r="B49" s="49" t="s">
        <v>151</v>
      </c>
      <c r="C49" s="49" t="s">
        <v>141</v>
      </c>
      <c r="D49" s="49" t="s">
        <v>142</v>
      </c>
      <c r="E49" s="49" t="s">
        <v>143</v>
      </c>
      <c r="F49" s="49" t="s">
        <v>144</v>
      </c>
      <c r="G49" s="49" t="s">
        <v>145</v>
      </c>
      <c r="H49" s="49" t="s">
        <v>147</v>
      </c>
      <c r="I49" s="49" t="s">
        <v>149</v>
      </c>
      <c r="J49" s="49" t="s">
        <v>146</v>
      </c>
      <c r="K49" s="49" t="s">
        <v>148</v>
      </c>
      <c r="L49" s="49"/>
      <c r="M49" s="49"/>
      <c r="N49" s="247">
        <v>0</v>
      </c>
      <c r="Q49">
        <v>501</v>
      </c>
      <c r="R49" t="s">
        <v>549</v>
      </c>
      <c r="S49" t="s">
        <v>547</v>
      </c>
      <c r="T49" t="str">
        <f>VLOOKUP(S49,'Precios y materiales '!$A$2:$B$147,2,FALSE)</f>
        <v>Peck Deck doble función</v>
      </c>
      <c r="U49" t="s">
        <v>548</v>
      </c>
      <c r="V49" t="s">
        <v>213</v>
      </c>
      <c r="W49" s="204" t="s">
        <v>515</v>
      </c>
      <c r="Y49" s="392">
        <v>3990000</v>
      </c>
      <c r="Z49" s="248">
        <f>IFERROR(VLOOKUP(S49,'Precios y materiales '!$A:$C,3,FALSE),"")</f>
        <v>3990000</v>
      </c>
      <c r="AA49" s="249">
        <f>(Y49*$AA$3)/'Mano de obra'!$C$9</f>
        <v>54.360723490954527</v>
      </c>
      <c r="AB49" s="249">
        <f t="shared" si="7"/>
        <v>54.360723490954527</v>
      </c>
      <c r="AC49" s="338">
        <f t="shared" si="8"/>
        <v>6.0400803878838367</v>
      </c>
      <c r="AD49" s="273">
        <f t="shared" si="9"/>
        <v>1271.7910878901835</v>
      </c>
      <c r="AE49" s="158"/>
      <c r="AF49" s="390">
        <v>46194</v>
      </c>
      <c r="AG49" s="250" t="str">
        <f ca="1">IFERROR(TEXT(HLOOKUP(AD49,'Mano de obra'!$L$23:$BP$25,3,TRUE),"d mmm"),"")</f>
        <v>22 Jun</v>
      </c>
    </row>
  </sheetData>
  <autoFilter ref="A4:AO42" xr:uid="{803CC1AA-B045-BD42-9D1C-993725304C8D}">
    <sortState xmlns:xlrd2="http://schemas.microsoft.com/office/spreadsheetml/2017/richdata2" ref="A6:AO32">
      <sortCondition ref="P4:P36"/>
    </sortState>
  </autoFilter>
  <mergeCells count="2">
    <mergeCell ref="A2:M2"/>
    <mergeCell ref="AF3:AG3"/>
  </mergeCells>
  <phoneticPr fontId="17" type="noConversion"/>
  <conditionalFormatting sqref="AH5:AO47">
    <cfRule type="containsText" dxfId="2" priority="1" operator="containsText" text="x">
      <formula>NOT(ISERROR(SEARCH("x",AH5)))</formula>
    </cfRule>
  </conditionalFormatting>
  <pageMargins left="0.23622047244094491" right="0.23622047244094491" top="0.74803149606299213" bottom="0.74803149606299213" header="0.31496062992125984" footer="0.31496062992125984"/>
  <pageSetup scale="70" fitToWidth="3" orientation="landscape" horizontalDpi="0" verticalDpi="0" copies="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FD7C-9A8A-364C-813C-D89EAAF9F340}">
  <sheetPr codeName="Hoja2"/>
  <dimension ref="A1:BP32"/>
  <sheetViews>
    <sheetView topLeftCell="R1" zoomScale="90" zoomScaleNormal="90" workbookViewId="0">
      <selection activeCell="C25" sqref="C25"/>
    </sheetView>
  </sheetViews>
  <sheetFormatPr baseColWidth="10" defaultRowHeight="16"/>
  <cols>
    <col min="1" max="1" width="36.5" bestFit="1" customWidth="1"/>
    <col min="2" max="2" width="6.33203125" bestFit="1" customWidth="1"/>
    <col min="3" max="3" width="12" bestFit="1" customWidth="1"/>
    <col min="4" max="4" width="2.1640625" bestFit="1" customWidth="1"/>
    <col min="5" max="5" width="28.1640625" bestFit="1" customWidth="1"/>
    <col min="6" max="7" width="12.33203125" customWidth="1"/>
    <col min="8" max="8" width="11.33203125" customWidth="1"/>
    <col min="9" max="9" width="12.33203125" customWidth="1"/>
    <col min="10" max="10" width="14.5" customWidth="1"/>
    <col min="11" max="11" width="11.1640625" customWidth="1"/>
    <col min="12" max="20" width="6.33203125" customWidth="1"/>
    <col min="21" max="33" width="7.33203125" customWidth="1"/>
    <col min="34" max="42" width="7.33203125" bestFit="1" customWidth="1"/>
    <col min="43" max="46" width="5.33203125" bestFit="1" customWidth="1"/>
    <col min="47" max="47" width="5.33203125" customWidth="1"/>
    <col min="48" max="50" width="5.33203125" bestFit="1" customWidth="1"/>
    <col min="51" max="68" width="6.5" bestFit="1" customWidth="1"/>
    <col min="69" max="69" width="10.83203125" customWidth="1"/>
  </cols>
  <sheetData>
    <row r="1" spans="1:68">
      <c r="A1" s="17"/>
      <c r="B1" s="17"/>
      <c r="C1" s="17"/>
      <c r="D1" s="45"/>
      <c r="E1" s="400">
        <v>2026</v>
      </c>
      <c r="F1" s="401"/>
      <c r="G1" s="1"/>
      <c r="H1" s="1"/>
      <c r="I1" s="4"/>
      <c r="J1" s="15"/>
      <c r="K1" s="2" t="s">
        <v>130</v>
      </c>
      <c r="L1" s="1" t="s">
        <v>133</v>
      </c>
      <c r="M1" s="16" t="s">
        <v>132</v>
      </c>
      <c r="N1" s="16" t="s">
        <v>131</v>
      </c>
      <c r="O1" s="1" t="s">
        <v>130</v>
      </c>
      <c r="P1" s="1" t="s">
        <v>129</v>
      </c>
      <c r="Q1" s="1" t="s">
        <v>128</v>
      </c>
      <c r="R1" s="1" t="s">
        <v>127</v>
      </c>
      <c r="S1" s="1" t="s">
        <v>133</v>
      </c>
      <c r="T1" s="16" t="s">
        <v>132</v>
      </c>
      <c r="U1" s="16" t="s">
        <v>131</v>
      </c>
      <c r="V1" s="1" t="s">
        <v>130</v>
      </c>
      <c r="W1" s="1" t="s">
        <v>129</v>
      </c>
      <c r="X1" s="1" t="s">
        <v>128</v>
      </c>
      <c r="Y1" s="1" t="s">
        <v>127</v>
      </c>
      <c r="Z1" s="1" t="s">
        <v>133</v>
      </c>
      <c r="AA1" s="16" t="s">
        <v>132</v>
      </c>
      <c r="AB1" s="16" t="s">
        <v>131</v>
      </c>
      <c r="AC1" s="393" t="s">
        <v>130</v>
      </c>
      <c r="AD1" s="1" t="s">
        <v>129</v>
      </c>
      <c r="AE1" s="1" t="s">
        <v>128</v>
      </c>
      <c r="AF1" s="1" t="s">
        <v>127</v>
      </c>
      <c r="AG1" s="1" t="s">
        <v>133</v>
      </c>
      <c r="AH1" s="16" t="s">
        <v>132</v>
      </c>
      <c r="AI1" s="16" t="s">
        <v>131</v>
      </c>
      <c r="AJ1" s="1" t="s">
        <v>130</v>
      </c>
      <c r="AK1" s="1" t="s">
        <v>129</v>
      </c>
      <c r="AL1" s="1" t="s">
        <v>128</v>
      </c>
      <c r="AM1" s="1" t="s">
        <v>127</v>
      </c>
      <c r="AN1" s="1" t="s">
        <v>133</v>
      </c>
      <c r="AO1" s="16" t="s">
        <v>132</v>
      </c>
      <c r="AP1" s="16" t="s">
        <v>131</v>
      </c>
      <c r="AQ1" s="1" t="s">
        <v>130</v>
      </c>
      <c r="AR1" s="1" t="s">
        <v>129</v>
      </c>
      <c r="AS1" s="1" t="s">
        <v>128</v>
      </c>
      <c r="AT1" s="1" t="s">
        <v>127</v>
      </c>
      <c r="AU1" s="1" t="s">
        <v>133</v>
      </c>
      <c r="AV1" s="16" t="s">
        <v>132</v>
      </c>
      <c r="AW1" s="16" t="s">
        <v>131</v>
      </c>
      <c r="AX1" s="1" t="s">
        <v>130</v>
      </c>
      <c r="AY1" s="1" t="s">
        <v>129</v>
      </c>
      <c r="AZ1" s="1" t="s">
        <v>128</v>
      </c>
      <c r="BA1" s="1" t="s">
        <v>127</v>
      </c>
      <c r="BB1" s="1" t="s">
        <v>133</v>
      </c>
      <c r="BC1" s="16" t="s">
        <v>132</v>
      </c>
      <c r="BD1" s="16" t="s">
        <v>131</v>
      </c>
      <c r="BE1" s="1" t="s">
        <v>130</v>
      </c>
      <c r="BF1" s="1" t="s">
        <v>129</v>
      </c>
      <c r="BG1" s="1" t="s">
        <v>128</v>
      </c>
      <c r="BH1" s="1" t="s">
        <v>127</v>
      </c>
      <c r="BI1" s="1" t="s">
        <v>133</v>
      </c>
      <c r="BJ1" s="16" t="s">
        <v>132</v>
      </c>
      <c r="BK1" s="16" t="s">
        <v>131</v>
      </c>
      <c r="BL1" s="1" t="s">
        <v>130</v>
      </c>
      <c r="BM1" s="1" t="s">
        <v>129</v>
      </c>
      <c r="BN1" s="1" t="s">
        <v>128</v>
      </c>
      <c r="BO1" s="1" t="s">
        <v>127</v>
      </c>
      <c r="BP1" s="1" t="s">
        <v>133</v>
      </c>
    </row>
    <row r="2" spans="1:68">
      <c r="A2" s="17"/>
      <c r="B2" s="17"/>
      <c r="C2" s="17"/>
      <c r="D2" s="45"/>
      <c r="E2" s="20" t="s">
        <v>27</v>
      </c>
      <c r="F2" s="21"/>
      <c r="G2" s="20" t="s">
        <v>28</v>
      </c>
      <c r="H2" s="15" t="s">
        <v>29</v>
      </c>
      <c r="I2" s="20" t="s">
        <v>30</v>
      </c>
      <c r="J2" s="83"/>
      <c r="K2" s="2"/>
      <c r="L2" s="23">
        <v>1</v>
      </c>
      <c r="M2" s="23">
        <v>2</v>
      </c>
      <c r="N2" s="23">
        <v>3</v>
      </c>
      <c r="O2" s="23">
        <v>4</v>
      </c>
      <c r="P2" s="23">
        <v>5</v>
      </c>
      <c r="Q2" s="23">
        <v>6</v>
      </c>
      <c r="R2" s="23">
        <v>7</v>
      </c>
      <c r="S2" s="23">
        <v>8</v>
      </c>
      <c r="T2" s="23">
        <v>9</v>
      </c>
      <c r="U2" s="23">
        <v>10</v>
      </c>
      <c r="V2" s="23">
        <v>11</v>
      </c>
      <c r="W2" s="23">
        <v>12</v>
      </c>
      <c r="X2" s="23">
        <v>13</v>
      </c>
      <c r="Y2" s="23">
        <v>14</v>
      </c>
      <c r="Z2" s="23">
        <v>15</v>
      </c>
      <c r="AA2" s="23">
        <v>16</v>
      </c>
      <c r="AB2" s="23">
        <v>17</v>
      </c>
      <c r="AC2" s="23">
        <v>18</v>
      </c>
      <c r="AD2" s="23">
        <v>19</v>
      </c>
      <c r="AE2" s="23">
        <v>20</v>
      </c>
      <c r="AF2" s="23">
        <v>21</v>
      </c>
      <c r="AG2" s="23">
        <v>22</v>
      </c>
      <c r="AH2" s="23">
        <v>23</v>
      </c>
      <c r="AI2" s="23">
        <v>24</v>
      </c>
      <c r="AJ2" s="23">
        <v>25</v>
      </c>
      <c r="AK2" s="23">
        <v>26</v>
      </c>
      <c r="AL2" s="23">
        <v>27</v>
      </c>
      <c r="AM2" s="23">
        <v>28</v>
      </c>
      <c r="AN2" s="23">
        <v>29</v>
      </c>
      <c r="AO2" s="23">
        <v>30</v>
      </c>
      <c r="AP2" s="23">
        <v>31</v>
      </c>
      <c r="AQ2" s="23">
        <v>32</v>
      </c>
      <c r="AR2" s="23">
        <v>33</v>
      </c>
      <c r="AS2" s="23">
        <v>34</v>
      </c>
      <c r="AT2" s="23">
        <v>35</v>
      </c>
      <c r="AU2" s="23">
        <v>36</v>
      </c>
      <c r="AV2" s="23">
        <v>37</v>
      </c>
      <c r="AW2" s="23">
        <v>38</v>
      </c>
      <c r="AX2" s="23">
        <v>39</v>
      </c>
      <c r="AY2" s="23">
        <v>40</v>
      </c>
      <c r="AZ2" s="23">
        <v>41</v>
      </c>
      <c r="BA2" s="23">
        <v>42</v>
      </c>
      <c r="BB2" s="23">
        <v>43</v>
      </c>
      <c r="BC2" s="23">
        <v>44</v>
      </c>
      <c r="BD2" s="23">
        <v>45</v>
      </c>
      <c r="BE2" s="23">
        <v>46</v>
      </c>
      <c r="BF2" s="23">
        <v>47</v>
      </c>
      <c r="BG2" s="23">
        <v>48</v>
      </c>
      <c r="BH2" s="23">
        <v>49</v>
      </c>
      <c r="BI2" s="23">
        <v>50</v>
      </c>
      <c r="BJ2" s="23">
        <v>51</v>
      </c>
      <c r="BK2" s="23">
        <v>52</v>
      </c>
      <c r="BL2" s="23">
        <v>53</v>
      </c>
      <c r="BM2" s="23">
        <v>54</v>
      </c>
      <c r="BN2" s="23">
        <v>55</v>
      </c>
      <c r="BO2" s="23">
        <v>56</v>
      </c>
      <c r="BP2" s="23">
        <v>57</v>
      </c>
    </row>
    <row r="3" spans="1:68">
      <c r="A3" s="17"/>
      <c r="B3" s="17"/>
      <c r="C3" s="17"/>
      <c r="D3" s="45"/>
      <c r="E3" s="28" t="s">
        <v>34</v>
      </c>
      <c r="F3" s="29" t="s">
        <v>35</v>
      </c>
      <c r="G3" s="78">
        <v>3500000</v>
      </c>
      <c r="H3" s="52"/>
      <c r="I3" s="79">
        <f>G3+H3</f>
        <v>3500000</v>
      </c>
      <c r="J3" s="307">
        <v>1</v>
      </c>
      <c r="K3" s="22"/>
      <c r="L3" s="17">
        <v>1</v>
      </c>
      <c r="M3" s="17">
        <v>2</v>
      </c>
      <c r="N3" s="17">
        <v>3</v>
      </c>
      <c r="O3" s="17">
        <v>4</v>
      </c>
      <c r="P3" s="17">
        <v>5</v>
      </c>
      <c r="Q3" s="17">
        <v>6</v>
      </c>
      <c r="R3" s="17">
        <v>7</v>
      </c>
      <c r="S3" s="17">
        <v>8</v>
      </c>
      <c r="T3" s="17">
        <v>9</v>
      </c>
      <c r="U3" s="17">
        <v>10</v>
      </c>
      <c r="V3" s="17">
        <v>11</v>
      </c>
      <c r="W3" s="17">
        <v>12</v>
      </c>
      <c r="X3" s="17">
        <v>13</v>
      </c>
      <c r="Y3" s="17">
        <v>14</v>
      </c>
      <c r="Z3" s="17">
        <v>15</v>
      </c>
      <c r="AA3" s="17">
        <v>16</v>
      </c>
      <c r="AB3" s="17">
        <v>17</v>
      </c>
      <c r="AC3" s="17">
        <v>18</v>
      </c>
      <c r="AD3" s="17">
        <v>19</v>
      </c>
      <c r="AE3" s="17">
        <v>20</v>
      </c>
      <c r="AF3" s="17">
        <v>21</v>
      </c>
      <c r="AG3" s="17">
        <v>22</v>
      </c>
      <c r="AH3" s="17">
        <v>23</v>
      </c>
      <c r="AI3" s="17">
        <v>24</v>
      </c>
      <c r="AJ3" s="17">
        <v>25</v>
      </c>
      <c r="AK3" s="17">
        <v>26</v>
      </c>
      <c r="AL3" s="17">
        <v>27</v>
      </c>
      <c r="AM3" s="17">
        <v>28</v>
      </c>
      <c r="AN3" s="17">
        <v>29</v>
      </c>
      <c r="AO3" s="17">
        <v>30</v>
      </c>
      <c r="AP3" s="17">
        <v>31</v>
      </c>
      <c r="AQ3" s="17">
        <v>32</v>
      </c>
      <c r="AR3" s="17">
        <v>33</v>
      </c>
      <c r="AS3" s="17">
        <v>34</v>
      </c>
      <c r="AT3" s="17">
        <v>35</v>
      </c>
      <c r="AU3" s="17">
        <v>36</v>
      </c>
      <c r="AV3" s="17">
        <v>37</v>
      </c>
      <c r="AW3" s="17">
        <v>38</v>
      </c>
      <c r="AX3" s="17">
        <v>39</v>
      </c>
      <c r="AY3" s="17">
        <v>40</v>
      </c>
      <c r="AZ3" s="17">
        <v>41</v>
      </c>
      <c r="BA3" s="17">
        <v>42</v>
      </c>
      <c r="BB3" s="17">
        <v>43</v>
      </c>
      <c r="BC3" s="17">
        <v>44</v>
      </c>
      <c r="BD3" s="17">
        <v>45</v>
      </c>
      <c r="BE3" s="17">
        <v>46</v>
      </c>
      <c r="BF3" s="17">
        <v>47</v>
      </c>
      <c r="BG3" s="17">
        <v>48</v>
      </c>
      <c r="BH3" s="17">
        <v>49</v>
      </c>
      <c r="BI3" s="17">
        <v>50</v>
      </c>
      <c r="BJ3" s="17">
        <v>51</v>
      </c>
      <c r="BK3" s="17">
        <v>52</v>
      </c>
      <c r="BL3" s="17">
        <v>53</v>
      </c>
      <c r="BM3" s="17">
        <v>54</v>
      </c>
      <c r="BN3" s="17">
        <v>55</v>
      </c>
      <c r="BO3" s="17">
        <v>56</v>
      </c>
      <c r="BP3" s="17">
        <v>57</v>
      </c>
    </row>
    <row r="4" spans="1:68">
      <c r="A4" s="17"/>
      <c r="B4" s="17"/>
      <c r="C4" s="17"/>
      <c r="D4" s="45"/>
      <c r="E4" s="28" t="s">
        <v>37</v>
      </c>
      <c r="F4" s="29" t="s">
        <v>38</v>
      </c>
      <c r="G4" s="95">
        <v>950000</v>
      </c>
      <c r="H4" s="52"/>
      <c r="I4" s="79">
        <f>G4+H4</f>
        <v>950000</v>
      </c>
      <c r="J4" s="307">
        <v>1</v>
      </c>
      <c r="K4" s="22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68">
      <c r="A5" s="17"/>
      <c r="B5" s="17"/>
      <c r="C5" s="17"/>
      <c r="D5" s="45"/>
      <c r="E5" s="1" t="s">
        <v>40</v>
      </c>
      <c r="F5" s="29" t="s">
        <v>38</v>
      </c>
      <c r="G5" s="93">
        <v>1750905</v>
      </c>
      <c r="H5" s="52">
        <v>400000</v>
      </c>
      <c r="I5" s="79">
        <f>G5+H5</f>
        <v>2150905</v>
      </c>
      <c r="J5" s="307">
        <v>14</v>
      </c>
      <c r="K5" s="22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68" ht="17" thickBot="1">
      <c r="A6" s="17"/>
      <c r="B6" s="17"/>
      <c r="C6" s="17"/>
      <c r="D6" s="45"/>
      <c r="E6" s="1" t="s">
        <v>252</v>
      </c>
      <c r="F6" s="101"/>
      <c r="G6" s="93">
        <v>1750905</v>
      </c>
      <c r="H6" s="52"/>
      <c r="I6" s="79">
        <f>G6+H6</f>
        <v>1750905</v>
      </c>
      <c r="J6" s="307"/>
      <c r="K6" s="22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68" ht="17" thickBot="1">
      <c r="A7" s="17"/>
      <c r="B7" s="17"/>
      <c r="C7" s="17"/>
      <c r="D7" s="45"/>
      <c r="E7" s="30" t="s">
        <v>42</v>
      </c>
      <c r="F7" s="31">
        <f>COUNTIF(G3:G5,"&gt;0")</f>
        <v>3</v>
      </c>
      <c r="G7" s="80">
        <f>SUM(G3:G5)</f>
        <v>6200905</v>
      </c>
      <c r="H7" s="52"/>
      <c r="I7" s="81">
        <f>(SUM(G3:H6))*(1+B12)</f>
        <v>14365113.199999999</v>
      </c>
      <c r="J7" s="82"/>
      <c r="K7" s="22"/>
      <c r="L7" s="17"/>
      <c r="M7" s="17"/>
      <c r="N7" s="17"/>
      <c r="O7" s="17"/>
      <c r="P7" s="17"/>
      <c r="Q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68" ht="17" thickBot="1">
      <c r="A8" s="17"/>
      <c r="B8" s="17"/>
      <c r="C8" s="17"/>
      <c r="D8" s="45"/>
      <c r="E8" s="17"/>
      <c r="F8" s="17"/>
      <c r="G8" s="4"/>
      <c r="H8" s="52"/>
      <c r="I8" s="52"/>
      <c r="J8" s="308" t="s">
        <v>470</v>
      </c>
      <c r="K8" s="22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BB8" s="17"/>
    </row>
    <row r="9" spans="1:68">
      <c r="A9" s="14" t="s">
        <v>25</v>
      </c>
      <c r="B9" s="43" t="s">
        <v>134</v>
      </c>
      <c r="C9" s="11">
        <f>C14/C16</f>
        <v>22019.57448559671</v>
      </c>
      <c r="D9" s="45">
        <v>1</v>
      </c>
      <c r="E9" s="94" t="s">
        <v>43</v>
      </c>
      <c r="F9" s="24" t="s">
        <v>44</v>
      </c>
      <c r="G9" s="93">
        <v>1750905</v>
      </c>
      <c r="H9" s="52">
        <v>1000000</v>
      </c>
      <c r="I9" s="79">
        <f t="shared" ref="I9:I15" si="0">G9+H9</f>
        <v>2750905</v>
      </c>
      <c r="J9" s="307">
        <v>8</v>
      </c>
      <c r="K9" s="367">
        <f>(I9*(1+$B$12))/$C$16</f>
        <v>25034.691005291003</v>
      </c>
      <c r="L9" s="71"/>
      <c r="M9" s="71" t="str">
        <f t="shared" ref="M9:P16" ca="1" si="1">IF($E9="","",IF(OR(M$1="s",M$1="d"),"",IF(M$25&lt;TODAY(),"",IF(M$1="v",6,9))))</f>
        <v/>
      </c>
      <c r="N9" s="71" t="str">
        <f t="shared" ca="1" si="1"/>
        <v/>
      </c>
      <c r="O9" s="71" t="str">
        <f t="shared" ca="1" si="1"/>
        <v/>
      </c>
      <c r="P9" s="71" t="str">
        <f t="shared" ca="1" si="1"/>
        <v/>
      </c>
      <c r="Q9" s="71" t="str">
        <f t="shared" ref="Q9:AX16" ca="1" si="2">IF($E9="","",IF(OR(Q$1="s",Q$1="d"),"",IF(Q$25&lt;TODAY(),"",IF(Q$1="v",6,9))))</f>
        <v/>
      </c>
      <c r="R9" s="71" t="str">
        <f t="shared" ca="1" si="2"/>
        <v/>
      </c>
      <c r="S9" s="71" t="str">
        <f t="shared" ca="1" si="2"/>
        <v/>
      </c>
      <c r="T9" s="71" t="str">
        <f t="shared" ca="1" si="2"/>
        <v/>
      </c>
      <c r="U9" s="71" t="str">
        <f t="shared" ca="1" si="2"/>
        <v/>
      </c>
      <c r="V9" s="71" t="str">
        <f t="shared" ca="1" si="2"/>
        <v/>
      </c>
      <c r="W9" s="71" t="str">
        <f t="shared" ca="1" si="2"/>
        <v/>
      </c>
      <c r="X9" s="71"/>
      <c r="Y9" s="71"/>
      <c r="Z9" s="71"/>
      <c r="AA9" s="71" t="str">
        <f t="shared" ca="1" si="2"/>
        <v/>
      </c>
      <c r="AB9" s="71" t="str">
        <f t="shared" ca="1" si="2"/>
        <v/>
      </c>
      <c r="AC9" s="71"/>
      <c r="AD9" s="71" t="str">
        <f t="shared" ca="1" si="2"/>
        <v/>
      </c>
      <c r="AE9" s="71" t="str">
        <f t="shared" ca="1" si="2"/>
        <v/>
      </c>
      <c r="AF9" s="71" t="str">
        <f t="shared" ca="1" si="2"/>
        <v/>
      </c>
      <c r="AG9" s="71" t="str">
        <f t="shared" ca="1" si="2"/>
        <v/>
      </c>
      <c r="AH9" s="71" t="str">
        <f t="shared" ca="1" si="2"/>
        <v/>
      </c>
      <c r="AI9" s="71" t="str">
        <f t="shared" ca="1" si="2"/>
        <v/>
      </c>
      <c r="AJ9" s="71" t="str">
        <f t="shared" ca="1" si="2"/>
        <v/>
      </c>
      <c r="AK9" s="71" t="str">
        <f t="shared" ca="1" si="2"/>
        <v/>
      </c>
      <c r="AL9" s="71" t="str">
        <f t="shared" ca="1" si="2"/>
        <v/>
      </c>
      <c r="AM9" s="71">
        <f t="shared" ca="1" si="2"/>
        <v>9</v>
      </c>
      <c r="AN9" s="71">
        <f t="shared" ca="1" si="2"/>
        <v>6</v>
      </c>
      <c r="AO9" s="71" t="str">
        <f t="shared" ca="1" si="2"/>
        <v/>
      </c>
      <c r="AP9" s="71" t="str">
        <f t="shared" ca="1" si="2"/>
        <v/>
      </c>
      <c r="AQ9" s="71">
        <f t="shared" ca="1" si="2"/>
        <v>9</v>
      </c>
      <c r="AR9" s="71">
        <f t="shared" ca="1" si="2"/>
        <v>9</v>
      </c>
      <c r="AS9" s="71">
        <f t="shared" ca="1" si="2"/>
        <v>9</v>
      </c>
      <c r="AT9" s="71">
        <f t="shared" ca="1" si="2"/>
        <v>9</v>
      </c>
      <c r="AU9" s="71">
        <f t="shared" ca="1" si="2"/>
        <v>6</v>
      </c>
      <c r="AV9" s="71" t="str">
        <f t="shared" ca="1" si="2"/>
        <v/>
      </c>
      <c r="AW9" s="71" t="str">
        <f t="shared" ca="1" si="2"/>
        <v/>
      </c>
      <c r="AX9" s="71">
        <f t="shared" ca="1" si="2"/>
        <v>9</v>
      </c>
      <c r="AY9" s="71">
        <f t="shared" ref="AY9:AY16" ca="1" si="3">IF($E9="","",IF(OR(AY$1="s",AY$1="d"),"",IF(AY$25&lt;TODAY(),"",IF(AY$1="v",6,9))))</f>
        <v>9</v>
      </c>
      <c r="AZ9" s="71">
        <f t="shared" ref="AZ9:BP16" ca="1" si="4">IF($E9="","",IF(OR(AZ$1="s",AZ$1="d"),"",IF(AZ$25&lt;TODAY(),"",IF(AZ$1="v",6,9))))</f>
        <v>9</v>
      </c>
      <c r="BA9" s="71">
        <f t="shared" ca="1" si="4"/>
        <v>9</v>
      </c>
      <c r="BB9" s="71">
        <f t="shared" ca="1" si="4"/>
        <v>6</v>
      </c>
      <c r="BC9" s="71" t="str">
        <f t="shared" ca="1" si="4"/>
        <v/>
      </c>
      <c r="BD9" s="71" t="str">
        <f t="shared" ca="1" si="4"/>
        <v/>
      </c>
      <c r="BE9" s="71">
        <f t="shared" ca="1" si="4"/>
        <v>9</v>
      </c>
      <c r="BF9" s="71">
        <f t="shared" ca="1" si="4"/>
        <v>9</v>
      </c>
      <c r="BG9" s="71">
        <f t="shared" ca="1" si="4"/>
        <v>9</v>
      </c>
      <c r="BH9" s="71">
        <f t="shared" ca="1" si="4"/>
        <v>9</v>
      </c>
      <c r="BI9" s="71">
        <f t="shared" ca="1" si="4"/>
        <v>6</v>
      </c>
      <c r="BJ9" s="71" t="str">
        <f t="shared" ca="1" si="4"/>
        <v/>
      </c>
      <c r="BK9" s="71" t="str">
        <f t="shared" ca="1" si="4"/>
        <v/>
      </c>
      <c r="BL9" s="71">
        <f t="shared" ca="1" si="4"/>
        <v>9</v>
      </c>
      <c r="BM9" s="71">
        <f t="shared" ca="1" si="4"/>
        <v>9</v>
      </c>
      <c r="BN9" s="71">
        <f t="shared" ca="1" si="4"/>
        <v>9</v>
      </c>
      <c r="BO9" s="71">
        <f t="shared" ca="1" si="4"/>
        <v>9</v>
      </c>
      <c r="BP9" s="71">
        <f t="shared" ca="1" si="4"/>
        <v>6</v>
      </c>
    </row>
    <row r="10" spans="1:68" ht="17" thickBot="1">
      <c r="A10" s="18" t="s">
        <v>25</v>
      </c>
      <c r="B10" s="44" t="s">
        <v>26</v>
      </c>
      <c r="C10" s="19">
        <f>C14/C15</f>
        <v>208084.9788888889</v>
      </c>
      <c r="D10" s="45">
        <v>2</v>
      </c>
      <c r="E10" s="94" t="s">
        <v>45</v>
      </c>
      <c r="F10" s="24" t="s">
        <v>46</v>
      </c>
      <c r="G10" s="93">
        <v>1750905</v>
      </c>
      <c r="H10" s="52">
        <v>640000</v>
      </c>
      <c r="I10" s="78">
        <f t="shared" si="0"/>
        <v>2390905</v>
      </c>
      <c r="J10" s="307">
        <v>23</v>
      </c>
      <c r="K10" s="368">
        <f t="shared" ref="K10:K18" si="5">(I10*(1+$B$12))/$C$16</f>
        <v>21758.500529100529</v>
      </c>
      <c r="L10" s="71"/>
      <c r="M10" s="71" t="str">
        <f t="shared" ca="1" si="1"/>
        <v/>
      </c>
      <c r="N10" s="71" t="str">
        <f t="shared" ca="1" si="1"/>
        <v/>
      </c>
      <c r="O10" s="71" t="str">
        <f t="shared" ca="1" si="1"/>
        <v/>
      </c>
      <c r="P10" s="71" t="str">
        <f t="shared" ca="1" si="1"/>
        <v/>
      </c>
      <c r="Q10" s="71" t="str">
        <f t="shared" ca="1" si="2"/>
        <v/>
      </c>
      <c r="R10" s="71" t="str">
        <f t="shared" ca="1" si="2"/>
        <v/>
      </c>
      <c r="S10" s="71" t="str">
        <f t="shared" ca="1" si="2"/>
        <v/>
      </c>
      <c r="T10" s="71" t="str">
        <f t="shared" ca="1" si="2"/>
        <v/>
      </c>
      <c r="U10" s="71" t="str">
        <f t="shared" ca="1" si="2"/>
        <v/>
      </c>
      <c r="V10" s="71" t="str">
        <f t="shared" ca="1" si="2"/>
        <v/>
      </c>
      <c r="W10" s="71" t="str">
        <f t="shared" ca="1" si="2"/>
        <v/>
      </c>
      <c r="X10" s="71" t="str">
        <f t="shared" ca="1" si="2"/>
        <v/>
      </c>
      <c r="Y10" s="71" t="str">
        <f ca="1">IF($E10="","",IF(OR(Y$1="s",Y$1="d"),"",IF(Y$25&lt;TODAY(),"",IF(Y$1="v",6,9))))</f>
        <v/>
      </c>
      <c r="Z10" s="71" t="str">
        <f ca="1">IF($E10="","",IF(OR(Z$1="s",Z$1="d"),"",IF(Z$25&lt;TODAY(),"",IF(Z$1="v",6,9))))</f>
        <v/>
      </c>
      <c r="AA10" s="71" t="str">
        <f t="shared" ca="1" si="2"/>
        <v/>
      </c>
      <c r="AB10" s="71" t="str">
        <f t="shared" ca="1" si="2"/>
        <v/>
      </c>
      <c r="AC10" s="71"/>
      <c r="AD10" s="71" t="str">
        <f t="shared" ca="1" si="2"/>
        <v/>
      </c>
      <c r="AE10" s="71" t="str">
        <f t="shared" ca="1" si="2"/>
        <v/>
      </c>
      <c r="AF10" s="71" t="str">
        <f t="shared" ca="1" si="2"/>
        <v/>
      </c>
      <c r="AG10" s="71" t="str">
        <f t="shared" ca="1" si="2"/>
        <v/>
      </c>
      <c r="AH10" s="71" t="str">
        <f t="shared" ca="1" si="2"/>
        <v/>
      </c>
      <c r="AI10" s="71" t="str">
        <f t="shared" ca="1" si="2"/>
        <v/>
      </c>
      <c r="AJ10" s="71" t="str">
        <f t="shared" ca="1" si="2"/>
        <v/>
      </c>
      <c r="AK10" s="71" t="str">
        <f t="shared" ca="1" si="2"/>
        <v/>
      </c>
      <c r="AL10" s="71" t="str">
        <f t="shared" ca="1" si="2"/>
        <v/>
      </c>
      <c r="AM10" s="71">
        <f t="shared" ca="1" si="2"/>
        <v>9</v>
      </c>
      <c r="AN10" s="71">
        <f t="shared" ca="1" si="2"/>
        <v>6</v>
      </c>
      <c r="AO10" s="71" t="str">
        <f t="shared" ca="1" si="2"/>
        <v/>
      </c>
      <c r="AP10" s="71" t="str">
        <f t="shared" ca="1" si="2"/>
        <v/>
      </c>
      <c r="AQ10" s="71">
        <f t="shared" ca="1" si="2"/>
        <v>9</v>
      </c>
      <c r="AR10" s="71">
        <f t="shared" ca="1" si="2"/>
        <v>9</v>
      </c>
      <c r="AS10" s="71">
        <f t="shared" ca="1" si="2"/>
        <v>9</v>
      </c>
      <c r="AT10" s="71">
        <f t="shared" ca="1" si="2"/>
        <v>9</v>
      </c>
      <c r="AU10" s="71">
        <f t="shared" ca="1" si="2"/>
        <v>6</v>
      </c>
      <c r="AV10" s="71" t="str">
        <f t="shared" ca="1" si="2"/>
        <v/>
      </c>
      <c r="AW10" s="71" t="str">
        <f t="shared" ca="1" si="2"/>
        <v/>
      </c>
      <c r="AX10" s="71">
        <f t="shared" ca="1" si="2"/>
        <v>9</v>
      </c>
      <c r="AY10" s="71">
        <f t="shared" ca="1" si="3"/>
        <v>9</v>
      </c>
      <c r="AZ10" s="71">
        <f t="shared" ca="1" si="4"/>
        <v>9</v>
      </c>
      <c r="BA10" s="71">
        <f t="shared" ca="1" si="4"/>
        <v>9</v>
      </c>
      <c r="BB10" s="71">
        <f t="shared" ca="1" si="4"/>
        <v>6</v>
      </c>
      <c r="BC10" s="71" t="str">
        <f t="shared" ca="1" si="4"/>
        <v/>
      </c>
      <c r="BD10" s="71" t="str">
        <f t="shared" ca="1" si="4"/>
        <v/>
      </c>
      <c r="BE10" s="71">
        <f t="shared" ca="1" si="4"/>
        <v>9</v>
      </c>
      <c r="BF10" s="71">
        <f t="shared" ca="1" si="4"/>
        <v>9</v>
      </c>
      <c r="BG10" s="71">
        <f t="shared" ca="1" si="4"/>
        <v>9</v>
      </c>
      <c r="BH10" s="71">
        <f t="shared" ca="1" si="4"/>
        <v>9</v>
      </c>
      <c r="BI10" s="71">
        <f t="shared" ca="1" si="4"/>
        <v>6</v>
      </c>
      <c r="BJ10" s="71" t="str">
        <f t="shared" ca="1" si="4"/>
        <v/>
      </c>
      <c r="BK10" s="71" t="str">
        <f t="shared" ca="1" si="4"/>
        <v/>
      </c>
      <c r="BL10" s="71">
        <f t="shared" ca="1" si="4"/>
        <v>9</v>
      </c>
      <c r="BM10" s="71">
        <f t="shared" ca="1" si="4"/>
        <v>9</v>
      </c>
      <c r="BN10" s="71">
        <f t="shared" ca="1" si="4"/>
        <v>9</v>
      </c>
      <c r="BO10" s="71">
        <f t="shared" ca="1" si="4"/>
        <v>9</v>
      </c>
      <c r="BP10" s="71">
        <f t="shared" ca="1" si="4"/>
        <v>6</v>
      </c>
    </row>
    <row r="11" spans="1:68">
      <c r="A11" s="14" t="s">
        <v>31</v>
      </c>
      <c r="B11" s="43"/>
      <c r="C11" s="25">
        <f>G23</f>
        <v>21776335</v>
      </c>
      <c r="D11" s="45">
        <v>3</v>
      </c>
      <c r="E11" s="94" t="s">
        <v>47</v>
      </c>
      <c r="F11" s="24" t="s">
        <v>48</v>
      </c>
      <c r="G11" s="93">
        <v>1750905</v>
      </c>
      <c r="H11" s="52">
        <v>380000</v>
      </c>
      <c r="I11" s="78">
        <f t="shared" si="0"/>
        <v>2130905</v>
      </c>
      <c r="J11" s="307">
        <v>37</v>
      </c>
      <c r="K11" s="367">
        <f t="shared" si="5"/>
        <v>19392.362962962965</v>
      </c>
      <c r="L11" s="71"/>
      <c r="M11" s="71" t="str">
        <f t="shared" ca="1" si="1"/>
        <v/>
      </c>
      <c r="N11" s="71" t="str">
        <f t="shared" ca="1" si="1"/>
        <v/>
      </c>
      <c r="O11" s="71" t="str">
        <f t="shared" ca="1" si="1"/>
        <v/>
      </c>
      <c r="P11" s="71" t="str">
        <f t="shared" ca="1" si="1"/>
        <v/>
      </c>
      <c r="Q11" s="71" t="str">
        <f t="shared" ca="1" si="2"/>
        <v/>
      </c>
      <c r="R11" s="71" t="str">
        <f t="shared" ca="1" si="2"/>
        <v/>
      </c>
      <c r="S11" s="71" t="str">
        <f t="shared" ca="1" si="2"/>
        <v/>
      </c>
      <c r="T11" s="71" t="str">
        <f t="shared" ca="1" si="2"/>
        <v/>
      </c>
      <c r="U11" s="71" t="str">
        <f t="shared" ca="1" si="2"/>
        <v/>
      </c>
      <c r="V11" s="71" t="str">
        <f t="shared" ca="1" si="2"/>
        <v/>
      </c>
      <c r="W11" s="71" t="str">
        <f t="shared" ca="1" si="2"/>
        <v/>
      </c>
      <c r="X11" s="71" t="str">
        <f t="shared" ca="1" si="2"/>
        <v/>
      </c>
      <c r="Y11" s="71" t="str">
        <f t="shared" ca="1" si="2"/>
        <v/>
      </c>
      <c r="Z11" s="71" t="str">
        <f t="shared" ca="1" si="2"/>
        <v/>
      </c>
      <c r="AA11" s="71" t="str">
        <f t="shared" ca="1" si="2"/>
        <v/>
      </c>
      <c r="AB11" s="71" t="str">
        <f t="shared" ca="1" si="2"/>
        <v/>
      </c>
      <c r="AC11" s="71"/>
      <c r="AD11" s="71" t="str">
        <f t="shared" ca="1" si="2"/>
        <v/>
      </c>
      <c r="AE11" s="71" t="str">
        <f t="shared" ca="1" si="2"/>
        <v/>
      </c>
      <c r="AF11" s="71" t="str">
        <f t="shared" ca="1" si="2"/>
        <v/>
      </c>
      <c r="AG11" s="71" t="str">
        <f t="shared" ca="1" si="2"/>
        <v/>
      </c>
      <c r="AH11" s="71" t="str">
        <f t="shared" ca="1" si="2"/>
        <v/>
      </c>
      <c r="AI11" s="71" t="str">
        <f t="shared" ca="1" si="2"/>
        <v/>
      </c>
      <c r="AJ11" s="71" t="str">
        <f t="shared" ca="1" si="2"/>
        <v/>
      </c>
      <c r="AK11" s="71" t="str">
        <f t="shared" ca="1" si="2"/>
        <v/>
      </c>
      <c r="AL11" s="71" t="str">
        <f t="shared" ca="1" si="2"/>
        <v/>
      </c>
      <c r="AM11" s="71">
        <f t="shared" ca="1" si="2"/>
        <v>9</v>
      </c>
      <c r="AN11" s="71">
        <f t="shared" ca="1" si="2"/>
        <v>6</v>
      </c>
      <c r="AO11" s="71" t="str">
        <f t="shared" ca="1" si="2"/>
        <v/>
      </c>
      <c r="AP11" s="71" t="str">
        <f t="shared" ca="1" si="2"/>
        <v/>
      </c>
      <c r="AQ11" s="71">
        <f t="shared" ca="1" si="2"/>
        <v>9</v>
      </c>
      <c r="AR11" s="71">
        <f t="shared" ca="1" si="2"/>
        <v>9</v>
      </c>
      <c r="AS11" s="71">
        <f t="shared" ca="1" si="2"/>
        <v>9</v>
      </c>
      <c r="AT11" s="71">
        <f t="shared" ca="1" si="2"/>
        <v>9</v>
      </c>
      <c r="AU11" s="71">
        <f t="shared" ca="1" si="2"/>
        <v>6</v>
      </c>
      <c r="AV11" s="71" t="str">
        <f t="shared" ca="1" si="2"/>
        <v/>
      </c>
      <c r="AW11" s="71" t="str">
        <f t="shared" ca="1" si="2"/>
        <v/>
      </c>
      <c r="AX11" s="71">
        <f t="shared" ca="1" si="2"/>
        <v>9</v>
      </c>
      <c r="AY11" s="71">
        <f t="shared" ca="1" si="3"/>
        <v>9</v>
      </c>
      <c r="AZ11" s="71">
        <f t="shared" ca="1" si="4"/>
        <v>9</v>
      </c>
      <c r="BA11" s="71">
        <f t="shared" ca="1" si="4"/>
        <v>9</v>
      </c>
      <c r="BB11" s="71">
        <f t="shared" ca="1" si="4"/>
        <v>6</v>
      </c>
      <c r="BC11" s="71" t="str">
        <f t="shared" ca="1" si="4"/>
        <v/>
      </c>
      <c r="BD11" s="71" t="str">
        <f t="shared" ca="1" si="4"/>
        <v/>
      </c>
      <c r="BE11" s="71">
        <f t="shared" ca="1" si="4"/>
        <v>9</v>
      </c>
      <c r="BF11" s="71">
        <f t="shared" ca="1" si="4"/>
        <v>9</v>
      </c>
      <c r="BG11" s="71">
        <f t="shared" ca="1" si="4"/>
        <v>9</v>
      </c>
      <c r="BH11" s="71">
        <f t="shared" ca="1" si="4"/>
        <v>9</v>
      </c>
      <c r="BI11" s="71">
        <f t="shared" ca="1" si="4"/>
        <v>6</v>
      </c>
      <c r="BJ11" s="71" t="str">
        <f t="shared" ca="1" si="4"/>
        <v/>
      </c>
      <c r="BK11" s="71" t="str">
        <f t="shared" ca="1" si="4"/>
        <v/>
      </c>
      <c r="BL11" s="71">
        <f t="shared" ca="1" si="4"/>
        <v>9</v>
      </c>
      <c r="BM11" s="71">
        <f t="shared" ca="1" si="4"/>
        <v>9</v>
      </c>
      <c r="BN11" s="71">
        <f t="shared" ca="1" si="4"/>
        <v>9</v>
      </c>
      <c r="BO11" s="71">
        <f t="shared" ca="1" si="4"/>
        <v>9</v>
      </c>
      <c r="BP11" s="71">
        <f t="shared" ca="1" si="4"/>
        <v>6</v>
      </c>
    </row>
    <row r="12" spans="1:68">
      <c r="A12" s="53" t="s">
        <v>32</v>
      </c>
      <c r="B12" s="54">
        <v>0.72</v>
      </c>
      <c r="C12" s="26">
        <f>C11*(1+B12)</f>
        <v>37455296.200000003</v>
      </c>
      <c r="D12" s="45">
        <v>4</v>
      </c>
      <c r="E12" s="94" t="s">
        <v>49</v>
      </c>
      <c r="F12" s="24" t="s">
        <v>50</v>
      </c>
      <c r="G12" s="93">
        <v>1750905</v>
      </c>
      <c r="H12" s="70">
        <v>200000</v>
      </c>
      <c r="I12" s="78">
        <f t="shared" si="0"/>
        <v>1950905</v>
      </c>
      <c r="J12" s="307">
        <v>9</v>
      </c>
      <c r="K12" s="367">
        <f t="shared" si="5"/>
        <v>17754.267724867725</v>
      </c>
      <c r="L12" s="71"/>
      <c r="M12" s="71" t="str">
        <f t="shared" ca="1" si="1"/>
        <v/>
      </c>
      <c r="N12" s="71" t="str">
        <f t="shared" ca="1" si="1"/>
        <v/>
      </c>
      <c r="O12" s="71" t="str">
        <f t="shared" ca="1" si="1"/>
        <v/>
      </c>
      <c r="P12" s="71" t="str">
        <f t="shared" ca="1" si="1"/>
        <v/>
      </c>
      <c r="Q12" s="71" t="str">
        <f t="shared" ca="1" si="2"/>
        <v/>
      </c>
      <c r="R12" s="71" t="str">
        <f t="shared" ca="1" si="2"/>
        <v/>
      </c>
      <c r="S12" s="71" t="str">
        <f t="shared" ca="1" si="2"/>
        <v/>
      </c>
      <c r="T12" s="71" t="str">
        <f t="shared" ca="1" si="2"/>
        <v/>
      </c>
      <c r="U12" s="71" t="str">
        <f t="shared" ca="1" si="2"/>
        <v/>
      </c>
      <c r="V12" s="71" t="str">
        <f t="shared" ca="1" si="2"/>
        <v/>
      </c>
      <c r="W12" s="71" t="str">
        <f t="shared" ca="1" si="2"/>
        <v/>
      </c>
      <c r="X12" s="71" t="str">
        <f t="shared" ca="1" si="2"/>
        <v/>
      </c>
      <c r="Y12" s="71" t="str">
        <f t="shared" ca="1" si="2"/>
        <v/>
      </c>
      <c r="Z12" s="71" t="str">
        <f t="shared" ca="1" si="2"/>
        <v/>
      </c>
      <c r="AA12" s="71" t="str">
        <f t="shared" ca="1" si="2"/>
        <v/>
      </c>
      <c r="AB12" s="71" t="str">
        <f t="shared" ca="1" si="2"/>
        <v/>
      </c>
      <c r="AC12" s="71"/>
      <c r="AD12" s="71" t="str">
        <f t="shared" ca="1" si="2"/>
        <v/>
      </c>
      <c r="AE12" s="71" t="str">
        <f t="shared" ca="1" si="2"/>
        <v/>
      </c>
      <c r="AF12" s="71" t="str">
        <f t="shared" ca="1" si="2"/>
        <v/>
      </c>
      <c r="AG12" s="71" t="str">
        <f t="shared" ca="1" si="2"/>
        <v/>
      </c>
      <c r="AH12" s="71" t="str">
        <f t="shared" ca="1" si="2"/>
        <v/>
      </c>
      <c r="AI12" s="71" t="str">
        <f t="shared" ca="1" si="2"/>
        <v/>
      </c>
      <c r="AJ12" s="71" t="str">
        <f t="shared" ca="1" si="2"/>
        <v/>
      </c>
      <c r="AK12" s="71" t="str">
        <f t="shared" ca="1" si="2"/>
        <v/>
      </c>
      <c r="AL12" s="71" t="str">
        <f t="shared" ca="1" si="2"/>
        <v/>
      </c>
      <c r="AM12" s="71">
        <f t="shared" ca="1" si="2"/>
        <v>9</v>
      </c>
      <c r="AN12" s="71">
        <f t="shared" ca="1" si="2"/>
        <v>6</v>
      </c>
      <c r="AO12" s="71" t="str">
        <f t="shared" ca="1" si="2"/>
        <v/>
      </c>
      <c r="AP12" s="71" t="str">
        <f t="shared" ca="1" si="2"/>
        <v/>
      </c>
      <c r="AQ12" s="71">
        <f t="shared" ca="1" si="2"/>
        <v>9</v>
      </c>
      <c r="AR12" s="71">
        <f t="shared" ca="1" si="2"/>
        <v>9</v>
      </c>
      <c r="AS12" s="71">
        <f t="shared" ca="1" si="2"/>
        <v>9</v>
      </c>
      <c r="AT12" s="71">
        <f t="shared" ca="1" si="2"/>
        <v>9</v>
      </c>
      <c r="AU12" s="71">
        <f t="shared" ca="1" si="2"/>
        <v>6</v>
      </c>
      <c r="AV12" s="71" t="str">
        <f t="shared" ca="1" si="2"/>
        <v/>
      </c>
      <c r="AW12" s="71" t="str">
        <f t="shared" ca="1" si="2"/>
        <v/>
      </c>
      <c r="AX12" s="71">
        <f t="shared" ca="1" si="2"/>
        <v>9</v>
      </c>
      <c r="AY12" s="71">
        <f t="shared" ca="1" si="3"/>
        <v>9</v>
      </c>
      <c r="AZ12" s="71">
        <f t="shared" ca="1" si="4"/>
        <v>9</v>
      </c>
      <c r="BA12" s="71">
        <f t="shared" ca="1" si="4"/>
        <v>9</v>
      </c>
      <c r="BB12" s="71">
        <f t="shared" ca="1" si="4"/>
        <v>6</v>
      </c>
      <c r="BC12" s="71" t="str">
        <f t="shared" ca="1" si="4"/>
        <v/>
      </c>
      <c r="BD12" s="71" t="str">
        <f t="shared" ca="1" si="4"/>
        <v/>
      </c>
      <c r="BE12" s="71">
        <f t="shared" ca="1" si="4"/>
        <v>9</v>
      </c>
      <c r="BF12" s="71">
        <f t="shared" ca="1" si="4"/>
        <v>9</v>
      </c>
      <c r="BG12" s="71">
        <f t="shared" ca="1" si="4"/>
        <v>9</v>
      </c>
      <c r="BH12" s="71">
        <f t="shared" ca="1" si="4"/>
        <v>9</v>
      </c>
      <c r="BI12" s="71">
        <f t="shared" ca="1" si="4"/>
        <v>6</v>
      </c>
      <c r="BJ12" s="71" t="str">
        <f t="shared" ca="1" si="4"/>
        <v/>
      </c>
      <c r="BK12" s="71" t="str">
        <f t="shared" ca="1" si="4"/>
        <v/>
      </c>
      <c r="BL12" s="71">
        <f t="shared" ca="1" si="4"/>
        <v>9</v>
      </c>
      <c r="BM12" s="71">
        <f t="shared" ca="1" si="4"/>
        <v>9</v>
      </c>
      <c r="BN12" s="71">
        <f t="shared" ca="1" si="4"/>
        <v>9</v>
      </c>
      <c r="BO12" s="71">
        <f t="shared" ca="1" si="4"/>
        <v>9</v>
      </c>
      <c r="BP12" s="71">
        <f t="shared" ca="1" si="4"/>
        <v>6</v>
      </c>
    </row>
    <row r="13" spans="1:68">
      <c r="A13" s="55" t="s">
        <v>33</v>
      </c>
      <c r="B13" s="54"/>
      <c r="C13" s="27">
        <f>F23</f>
        <v>9</v>
      </c>
      <c r="D13" s="45">
        <v>5</v>
      </c>
      <c r="E13" s="94" t="s">
        <v>51</v>
      </c>
      <c r="F13" s="24" t="s">
        <v>52</v>
      </c>
      <c r="G13" s="93">
        <v>1750905</v>
      </c>
      <c r="H13" s="70">
        <v>300000</v>
      </c>
      <c r="I13" s="78">
        <f t="shared" si="0"/>
        <v>2050905</v>
      </c>
      <c r="J13" s="307">
        <v>8</v>
      </c>
      <c r="K13" s="367">
        <f t="shared" si="5"/>
        <v>18664.320634920634</v>
      </c>
      <c r="L13" s="71"/>
      <c r="M13" s="71" t="str">
        <f t="shared" ca="1" si="1"/>
        <v/>
      </c>
      <c r="N13" s="71" t="str">
        <f t="shared" ca="1" si="1"/>
        <v/>
      </c>
      <c r="O13" s="71" t="str">
        <f t="shared" ca="1" si="1"/>
        <v/>
      </c>
      <c r="P13" s="71" t="str">
        <f t="shared" ca="1" si="1"/>
        <v/>
      </c>
      <c r="Q13" s="71" t="str">
        <f t="shared" ca="1" si="2"/>
        <v/>
      </c>
      <c r="R13" s="71" t="str">
        <f t="shared" ca="1" si="2"/>
        <v/>
      </c>
      <c r="S13" s="71" t="str">
        <f t="shared" ca="1" si="2"/>
        <v/>
      </c>
      <c r="T13" s="71" t="str">
        <f t="shared" ca="1" si="2"/>
        <v/>
      </c>
      <c r="U13" s="71" t="str">
        <f t="shared" ca="1" si="2"/>
        <v/>
      </c>
      <c r="V13" s="71" t="str">
        <f t="shared" ca="1" si="2"/>
        <v/>
      </c>
      <c r="W13" s="71" t="str">
        <f t="shared" ca="1" si="2"/>
        <v/>
      </c>
      <c r="X13" s="71" t="str">
        <f t="shared" ca="1" si="2"/>
        <v/>
      </c>
      <c r="Y13" s="71" t="str">
        <f t="shared" ca="1" si="2"/>
        <v/>
      </c>
      <c r="Z13" s="71" t="str">
        <f t="shared" ca="1" si="2"/>
        <v/>
      </c>
      <c r="AA13" s="71" t="str">
        <f t="shared" ca="1" si="2"/>
        <v/>
      </c>
      <c r="AB13" s="71" t="str">
        <f t="shared" ca="1" si="2"/>
        <v/>
      </c>
      <c r="AC13" s="71"/>
      <c r="AD13" s="71" t="str">
        <f t="shared" ca="1" si="2"/>
        <v/>
      </c>
      <c r="AE13" s="71" t="str">
        <f t="shared" ca="1" si="2"/>
        <v/>
      </c>
      <c r="AF13" s="71" t="str">
        <f t="shared" ca="1" si="2"/>
        <v/>
      </c>
      <c r="AG13" s="71" t="str">
        <f t="shared" ca="1" si="2"/>
        <v/>
      </c>
      <c r="AH13" s="71" t="str">
        <f t="shared" ca="1" si="2"/>
        <v/>
      </c>
      <c r="AI13" s="71" t="str">
        <f t="shared" ca="1" si="2"/>
        <v/>
      </c>
      <c r="AJ13" s="71" t="str">
        <f t="shared" ca="1" si="2"/>
        <v/>
      </c>
      <c r="AK13" s="71" t="str">
        <f t="shared" ca="1" si="2"/>
        <v/>
      </c>
      <c r="AL13" s="71" t="str">
        <f t="shared" ca="1" si="2"/>
        <v/>
      </c>
      <c r="AM13" s="71">
        <f t="shared" ca="1" si="2"/>
        <v>9</v>
      </c>
      <c r="AN13" s="71">
        <f t="shared" ca="1" si="2"/>
        <v>6</v>
      </c>
      <c r="AO13" s="71" t="str">
        <f t="shared" ca="1" si="2"/>
        <v/>
      </c>
      <c r="AP13" s="71" t="str">
        <f t="shared" ca="1" si="2"/>
        <v/>
      </c>
      <c r="AQ13" s="71">
        <f t="shared" ca="1" si="2"/>
        <v>9</v>
      </c>
      <c r="AR13" s="71">
        <f t="shared" ca="1" si="2"/>
        <v>9</v>
      </c>
      <c r="AS13" s="71">
        <f t="shared" ca="1" si="2"/>
        <v>9</v>
      </c>
      <c r="AT13" s="71">
        <f t="shared" ca="1" si="2"/>
        <v>9</v>
      </c>
      <c r="AU13" s="71">
        <f t="shared" ca="1" si="2"/>
        <v>6</v>
      </c>
      <c r="AV13" s="71" t="str">
        <f t="shared" ca="1" si="2"/>
        <v/>
      </c>
      <c r="AW13" s="71" t="str">
        <f t="shared" ca="1" si="2"/>
        <v/>
      </c>
      <c r="AX13" s="71">
        <f t="shared" ca="1" si="2"/>
        <v>9</v>
      </c>
      <c r="AY13" s="71">
        <f t="shared" ca="1" si="3"/>
        <v>9</v>
      </c>
      <c r="AZ13" s="71">
        <f t="shared" ca="1" si="4"/>
        <v>9</v>
      </c>
      <c r="BA13" s="71">
        <f t="shared" ca="1" si="4"/>
        <v>9</v>
      </c>
      <c r="BB13" s="71">
        <f t="shared" ca="1" si="4"/>
        <v>6</v>
      </c>
      <c r="BC13" s="71" t="str">
        <f t="shared" ca="1" si="4"/>
        <v/>
      </c>
      <c r="BD13" s="71" t="str">
        <f t="shared" ca="1" si="4"/>
        <v/>
      </c>
      <c r="BE13" s="71">
        <f t="shared" ca="1" si="4"/>
        <v>9</v>
      </c>
      <c r="BF13" s="71">
        <f t="shared" ca="1" si="4"/>
        <v>9</v>
      </c>
      <c r="BG13" s="71">
        <f t="shared" ca="1" si="4"/>
        <v>9</v>
      </c>
      <c r="BH13" s="71">
        <f t="shared" ca="1" si="4"/>
        <v>9</v>
      </c>
      <c r="BI13" s="71">
        <f t="shared" ca="1" si="4"/>
        <v>6</v>
      </c>
      <c r="BJ13" s="71" t="str">
        <f t="shared" ca="1" si="4"/>
        <v/>
      </c>
      <c r="BK13" s="71" t="str">
        <f t="shared" ca="1" si="4"/>
        <v/>
      </c>
      <c r="BL13" s="71">
        <f t="shared" ca="1" si="4"/>
        <v>9</v>
      </c>
      <c r="BM13" s="71">
        <f t="shared" ca="1" si="4"/>
        <v>9</v>
      </c>
      <c r="BN13" s="71">
        <f t="shared" ca="1" si="4"/>
        <v>9</v>
      </c>
      <c r="BO13" s="71">
        <f t="shared" ca="1" si="4"/>
        <v>9</v>
      </c>
      <c r="BP13" s="71">
        <f t="shared" ca="1" si="4"/>
        <v>6</v>
      </c>
    </row>
    <row r="14" spans="1:68">
      <c r="A14" s="55" t="s">
        <v>36</v>
      </c>
      <c r="B14" s="54"/>
      <c r="C14" s="26">
        <f>C12/C13</f>
        <v>4161699.5777777783</v>
      </c>
      <c r="D14" s="45">
        <v>6</v>
      </c>
      <c r="E14" s="94" t="s">
        <v>53</v>
      </c>
      <c r="F14" s="24" t="s">
        <v>54</v>
      </c>
      <c r="G14" s="93">
        <v>1750905</v>
      </c>
      <c r="H14" s="70">
        <v>200000</v>
      </c>
      <c r="I14" s="78">
        <f t="shared" si="0"/>
        <v>1950905</v>
      </c>
      <c r="J14" s="307">
        <v>9</v>
      </c>
      <c r="K14" s="367">
        <f t="shared" si="5"/>
        <v>17754.267724867725</v>
      </c>
      <c r="L14" s="71"/>
      <c r="M14" s="71" t="str">
        <f t="shared" ca="1" si="1"/>
        <v/>
      </c>
      <c r="N14" s="71" t="str">
        <f t="shared" ca="1" si="1"/>
        <v/>
      </c>
      <c r="O14" s="71" t="str">
        <f t="shared" ca="1" si="1"/>
        <v/>
      </c>
      <c r="P14" s="71" t="str">
        <f t="shared" ca="1" si="1"/>
        <v/>
      </c>
      <c r="Q14" s="71" t="str">
        <f t="shared" ca="1" si="2"/>
        <v/>
      </c>
      <c r="R14" s="71" t="str">
        <f t="shared" ca="1" si="2"/>
        <v/>
      </c>
      <c r="S14" s="71" t="str">
        <f t="shared" ca="1" si="2"/>
        <v/>
      </c>
      <c r="T14" s="71" t="str">
        <f t="shared" ca="1" si="2"/>
        <v/>
      </c>
      <c r="U14" s="71" t="str">
        <f t="shared" ca="1" si="2"/>
        <v/>
      </c>
      <c r="V14" s="71" t="str">
        <f t="shared" ca="1" si="2"/>
        <v/>
      </c>
      <c r="W14" s="71" t="str">
        <f t="shared" ca="1" si="2"/>
        <v/>
      </c>
      <c r="X14" s="71" t="str">
        <f t="shared" ca="1" si="2"/>
        <v/>
      </c>
      <c r="Y14" s="71" t="str">
        <f t="shared" ca="1" si="2"/>
        <v/>
      </c>
      <c r="Z14" s="71" t="str">
        <f t="shared" ca="1" si="2"/>
        <v/>
      </c>
      <c r="AA14" s="71" t="str">
        <f t="shared" ca="1" si="2"/>
        <v/>
      </c>
      <c r="AB14" s="71" t="str">
        <f t="shared" ca="1" si="2"/>
        <v/>
      </c>
      <c r="AC14" s="71"/>
      <c r="AD14" s="71" t="str">
        <f t="shared" ca="1" si="2"/>
        <v/>
      </c>
      <c r="AE14" s="71" t="str">
        <f t="shared" ca="1" si="2"/>
        <v/>
      </c>
      <c r="AF14" s="71" t="str">
        <f t="shared" ca="1" si="2"/>
        <v/>
      </c>
      <c r="AG14" s="71" t="str">
        <f t="shared" ca="1" si="2"/>
        <v/>
      </c>
      <c r="AH14" s="71" t="str">
        <f t="shared" ca="1" si="2"/>
        <v/>
      </c>
      <c r="AI14" s="71" t="str">
        <f t="shared" ca="1" si="2"/>
        <v/>
      </c>
      <c r="AJ14" s="71" t="str">
        <f t="shared" ca="1" si="2"/>
        <v/>
      </c>
      <c r="AK14" s="71" t="str">
        <f t="shared" ca="1" si="2"/>
        <v/>
      </c>
      <c r="AL14" s="71" t="str">
        <f t="shared" ca="1" si="2"/>
        <v/>
      </c>
      <c r="AM14" s="71">
        <f t="shared" ca="1" si="2"/>
        <v>9</v>
      </c>
      <c r="AN14" s="71">
        <f t="shared" ca="1" si="2"/>
        <v>6</v>
      </c>
      <c r="AO14" s="71" t="str">
        <f t="shared" ca="1" si="2"/>
        <v/>
      </c>
      <c r="AP14" s="71" t="str">
        <f t="shared" ca="1" si="2"/>
        <v/>
      </c>
      <c r="AQ14" s="71">
        <f t="shared" ca="1" si="2"/>
        <v>9</v>
      </c>
      <c r="AR14" s="71">
        <f t="shared" ca="1" si="2"/>
        <v>9</v>
      </c>
      <c r="AS14" s="71">
        <f t="shared" ca="1" si="2"/>
        <v>9</v>
      </c>
      <c r="AT14" s="71">
        <f t="shared" ca="1" si="2"/>
        <v>9</v>
      </c>
      <c r="AU14" s="71">
        <f t="shared" ca="1" si="2"/>
        <v>6</v>
      </c>
      <c r="AV14" s="71" t="str">
        <f t="shared" ca="1" si="2"/>
        <v/>
      </c>
      <c r="AW14" s="71" t="str">
        <f t="shared" ca="1" si="2"/>
        <v/>
      </c>
      <c r="AX14" s="71">
        <f t="shared" ca="1" si="2"/>
        <v>9</v>
      </c>
      <c r="AY14" s="71">
        <f t="shared" ca="1" si="3"/>
        <v>9</v>
      </c>
      <c r="AZ14" s="71">
        <f t="shared" ca="1" si="4"/>
        <v>9</v>
      </c>
      <c r="BA14" s="71">
        <f t="shared" ca="1" si="4"/>
        <v>9</v>
      </c>
      <c r="BB14" s="71">
        <f t="shared" ca="1" si="4"/>
        <v>6</v>
      </c>
      <c r="BC14" s="71" t="str">
        <f t="shared" ca="1" si="4"/>
        <v/>
      </c>
      <c r="BD14" s="71" t="str">
        <f t="shared" ca="1" si="4"/>
        <v/>
      </c>
      <c r="BE14" s="71">
        <f t="shared" ca="1" si="4"/>
        <v>9</v>
      </c>
      <c r="BF14" s="71">
        <f t="shared" ca="1" si="4"/>
        <v>9</v>
      </c>
      <c r="BG14" s="71">
        <f t="shared" ca="1" si="4"/>
        <v>9</v>
      </c>
      <c r="BH14" s="71">
        <f t="shared" ca="1" si="4"/>
        <v>9</v>
      </c>
      <c r="BI14" s="71">
        <f t="shared" ca="1" si="4"/>
        <v>6</v>
      </c>
      <c r="BJ14" s="71" t="str">
        <f t="shared" ca="1" si="4"/>
        <v/>
      </c>
      <c r="BK14" s="71" t="str">
        <f t="shared" ca="1" si="4"/>
        <v/>
      </c>
      <c r="BL14" s="71">
        <f t="shared" ca="1" si="4"/>
        <v>9</v>
      </c>
      <c r="BM14" s="71">
        <f t="shared" ca="1" si="4"/>
        <v>9</v>
      </c>
      <c r="BN14" s="71">
        <f t="shared" ca="1" si="4"/>
        <v>9</v>
      </c>
      <c r="BO14" s="71">
        <f t="shared" ca="1" si="4"/>
        <v>9</v>
      </c>
      <c r="BP14" s="71">
        <f t="shared" ca="1" si="4"/>
        <v>6</v>
      </c>
    </row>
    <row r="15" spans="1:68" ht="17" thickBot="1">
      <c r="A15" s="56" t="s">
        <v>39</v>
      </c>
      <c r="B15" s="96"/>
      <c r="C15" s="97">
        <v>20</v>
      </c>
      <c r="D15" s="45">
        <v>7</v>
      </c>
      <c r="E15" s="310" t="s">
        <v>55</v>
      </c>
      <c r="F15" s="311" t="s">
        <v>44</v>
      </c>
      <c r="G15" s="312"/>
      <c r="H15" s="313">
        <v>3500000</v>
      </c>
      <c r="I15" s="314">
        <f t="shared" si="0"/>
        <v>3500000</v>
      </c>
      <c r="J15" s="315"/>
      <c r="K15" s="367">
        <f t="shared" si="5"/>
        <v>31851.85185185185</v>
      </c>
      <c r="L15" s="309"/>
      <c r="M15" s="309" t="str">
        <f t="shared" ca="1" si="1"/>
        <v/>
      </c>
      <c r="N15" s="309" t="str">
        <f t="shared" ca="1" si="1"/>
        <v/>
      </c>
      <c r="O15" s="309" t="str">
        <f t="shared" ca="1" si="1"/>
        <v/>
      </c>
      <c r="P15" s="309" t="str">
        <f t="shared" ca="1" si="1"/>
        <v/>
      </c>
      <c r="Q15" s="309" t="str">
        <f t="shared" ca="1" si="2"/>
        <v/>
      </c>
      <c r="R15" s="309" t="str">
        <f t="shared" ca="1" si="2"/>
        <v/>
      </c>
      <c r="S15" s="309" t="str">
        <f t="shared" ca="1" si="2"/>
        <v/>
      </c>
      <c r="T15" s="309" t="str">
        <f t="shared" ca="1" si="2"/>
        <v/>
      </c>
      <c r="U15" s="309" t="str">
        <f t="shared" ca="1" si="2"/>
        <v/>
      </c>
      <c r="V15" s="309" t="str">
        <f t="shared" ca="1" si="2"/>
        <v/>
      </c>
      <c r="W15" s="309" t="str">
        <f t="shared" ca="1" si="2"/>
        <v/>
      </c>
      <c r="X15" s="309" t="str">
        <f t="shared" ca="1" si="2"/>
        <v/>
      </c>
      <c r="Y15" s="309" t="str">
        <f t="shared" ca="1" si="2"/>
        <v/>
      </c>
      <c r="Z15" s="309" t="str">
        <f t="shared" ca="1" si="2"/>
        <v/>
      </c>
      <c r="AA15" s="309" t="str">
        <f t="shared" ca="1" si="2"/>
        <v/>
      </c>
      <c r="AB15" s="309" t="str">
        <f t="shared" ca="1" si="2"/>
        <v/>
      </c>
      <c r="AC15" s="309"/>
      <c r="AD15" s="309" t="str">
        <f t="shared" ca="1" si="2"/>
        <v/>
      </c>
      <c r="AE15" s="309" t="str">
        <f t="shared" ca="1" si="2"/>
        <v/>
      </c>
      <c r="AF15" s="309" t="str">
        <f t="shared" ca="1" si="2"/>
        <v/>
      </c>
      <c r="AG15" s="309" t="str">
        <f t="shared" ca="1" si="2"/>
        <v/>
      </c>
      <c r="AH15" s="309" t="str">
        <f t="shared" ca="1" si="2"/>
        <v/>
      </c>
      <c r="AI15" s="309" t="str">
        <f t="shared" ca="1" si="2"/>
        <v/>
      </c>
      <c r="AJ15" s="309" t="str">
        <f t="shared" ca="1" si="2"/>
        <v/>
      </c>
      <c r="AK15" s="309" t="str">
        <f t="shared" ca="1" si="2"/>
        <v/>
      </c>
      <c r="AL15" s="309" t="str">
        <f t="shared" ca="1" si="2"/>
        <v/>
      </c>
      <c r="AM15" s="309">
        <f t="shared" ca="1" si="2"/>
        <v>9</v>
      </c>
      <c r="AN15" s="309">
        <f t="shared" ca="1" si="2"/>
        <v>6</v>
      </c>
      <c r="AO15" s="309" t="str">
        <f t="shared" ca="1" si="2"/>
        <v/>
      </c>
      <c r="AP15" s="309" t="str">
        <f t="shared" ca="1" si="2"/>
        <v/>
      </c>
      <c r="AQ15" s="309">
        <f t="shared" ca="1" si="2"/>
        <v>9</v>
      </c>
      <c r="AR15" s="309">
        <f t="shared" ca="1" si="2"/>
        <v>9</v>
      </c>
      <c r="AS15" s="309">
        <f t="shared" ca="1" si="2"/>
        <v>9</v>
      </c>
      <c r="AT15" s="309">
        <f t="shared" ca="1" si="2"/>
        <v>9</v>
      </c>
      <c r="AU15" s="309">
        <f t="shared" ca="1" si="2"/>
        <v>6</v>
      </c>
      <c r="AV15" s="309" t="str">
        <f t="shared" ca="1" si="2"/>
        <v/>
      </c>
      <c r="AW15" s="309" t="str">
        <f t="shared" ca="1" si="2"/>
        <v/>
      </c>
      <c r="AX15" s="309">
        <f t="shared" ca="1" si="2"/>
        <v>9</v>
      </c>
      <c r="AY15" s="309">
        <f t="shared" ca="1" si="3"/>
        <v>9</v>
      </c>
      <c r="AZ15" s="309">
        <f t="shared" ca="1" si="4"/>
        <v>9</v>
      </c>
      <c r="BA15" s="309">
        <f t="shared" ca="1" si="4"/>
        <v>9</v>
      </c>
      <c r="BB15" s="309">
        <f t="shared" ca="1" si="4"/>
        <v>6</v>
      </c>
      <c r="BC15" s="309" t="str">
        <f t="shared" ca="1" si="4"/>
        <v/>
      </c>
      <c r="BD15" s="309" t="str">
        <f t="shared" ca="1" si="4"/>
        <v/>
      </c>
      <c r="BE15" s="309">
        <f t="shared" ca="1" si="4"/>
        <v>9</v>
      </c>
      <c r="BF15" s="309">
        <f t="shared" ca="1" si="4"/>
        <v>9</v>
      </c>
      <c r="BG15" s="309">
        <f t="shared" ca="1" si="4"/>
        <v>9</v>
      </c>
      <c r="BH15" s="309">
        <f t="shared" ca="1" si="4"/>
        <v>9</v>
      </c>
      <c r="BI15" s="309">
        <f t="shared" ca="1" si="4"/>
        <v>6</v>
      </c>
      <c r="BJ15" s="309" t="str">
        <f t="shared" ca="1" si="4"/>
        <v/>
      </c>
      <c r="BK15" s="309" t="str">
        <f t="shared" ca="1" si="4"/>
        <v/>
      </c>
      <c r="BL15" s="309">
        <f t="shared" ca="1" si="4"/>
        <v>9</v>
      </c>
      <c r="BM15" s="309">
        <f t="shared" ca="1" si="4"/>
        <v>9</v>
      </c>
      <c r="BN15" s="309">
        <f t="shared" ca="1" si="4"/>
        <v>9</v>
      </c>
      <c r="BO15" s="309">
        <f t="shared" ca="1" si="4"/>
        <v>9</v>
      </c>
      <c r="BP15" s="309">
        <f t="shared" ca="1" si="4"/>
        <v>6</v>
      </c>
    </row>
    <row r="16" spans="1:68" ht="17" thickBot="1">
      <c r="A16" s="84" t="s">
        <v>41</v>
      </c>
      <c r="B16" s="59"/>
      <c r="C16" s="85">
        <v>189</v>
      </c>
      <c r="D16" s="45">
        <v>8</v>
      </c>
      <c r="E16" s="41" t="s">
        <v>188</v>
      </c>
      <c r="F16" s="6" t="s">
        <v>44</v>
      </c>
      <c r="G16" s="93">
        <v>1750905</v>
      </c>
      <c r="H16" s="70">
        <v>300000</v>
      </c>
      <c r="I16" s="86">
        <f t="shared" ref="I16" si="6">G16+H16</f>
        <v>2050905</v>
      </c>
      <c r="J16" s="307">
        <v>4</v>
      </c>
      <c r="K16" s="367">
        <f t="shared" si="5"/>
        <v>18664.320634920634</v>
      </c>
      <c r="L16" s="71"/>
      <c r="M16" s="71" t="str">
        <f t="shared" ca="1" si="1"/>
        <v/>
      </c>
      <c r="N16" s="71" t="str">
        <f t="shared" ca="1" si="1"/>
        <v/>
      </c>
      <c r="O16" s="71" t="str">
        <f t="shared" ca="1" si="1"/>
        <v/>
      </c>
      <c r="P16" s="71" t="str">
        <f t="shared" ca="1" si="1"/>
        <v/>
      </c>
      <c r="Q16" s="71" t="str">
        <f t="shared" ca="1" si="2"/>
        <v/>
      </c>
      <c r="R16" s="71" t="str">
        <f t="shared" ca="1" si="2"/>
        <v/>
      </c>
      <c r="S16" s="71" t="str">
        <f t="shared" ca="1" si="2"/>
        <v/>
      </c>
      <c r="T16" s="71" t="str">
        <f t="shared" ca="1" si="2"/>
        <v/>
      </c>
      <c r="U16" s="71" t="str">
        <f t="shared" ca="1" si="2"/>
        <v/>
      </c>
      <c r="V16" s="71" t="str">
        <f t="shared" ca="1" si="2"/>
        <v/>
      </c>
      <c r="W16" s="71" t="str">
        <f t="shared" ca="1" si="2"/>
        <v/>
      </c>
      <c r="X16" s="71" t="str">
        <f t="shared" ca="1" si="2"/>
        <v/>
      </c>
      <c r="Y16" s="71" t="str">
        <f t="shared" ca="1" si="2"/>
        <v/>
      </c>
      <c r="Z16" s="71" t="str">
        <f t="shared" ca="1" si="2"/>
        <v/>
      </c>
      <c r="AA16" s="71" t="str">
        <f t="shared" ca="1" si="2"/>
        <v/>
      </c>
      <c r="AB16" s="71" t="str">
        <f t="shared" ca="1" si="2"/>
        <v/>
      </c>
      <c r="AC16" s="71"/>
      <c r="AD16" s="71" t="str">
        <f t="shared" ca="1" si="2"/>
        <v/>
      </c>
      <c r="AE16" s="71" t="str">
        <f t="shared" ca="1" si="2"/>
        <v/>
      </c>
      <c r="AF16" s="71" t="str">
        <f t="shared" ca="1" si="2"/>
        <v/>
      </c>
      <c r="AG16" s="71" t="str">
        <f t="shared" ca="1" si="2"/>
        <v/>
      </c>
      <c r="AH16" s="71" t="str">
        <f t="shared" ref="AH16:AX16" ca="1" si="7">IF($E16="","",IF(OR(AH$1="s",AH$1="d"),"",IF(AH$25&lt;TODAY(),"",IF(AH$1="v",6,9))))</f>
        <v/>
      </c>
      <c r="AI16" s="71" t="str">
        <f t="shared" ca="1" si="7"/>
        <v/>
      </c>
      <c r="AJ16" s="71" t="str">
        <f t="shared" ca="1" si="7"/>
        <v/>
      </c>
      <c r="AK16" s="71" t="str">
        <f t="shared" ca="1" si="7"/>
        <v/>
      </c>
      <c r="AL16" s="71" t="str">
        <f t="shared" ca="1" si="7"/>
        <v/>
      </c>
      <c r="AM16" s="71">
        <f t="shared" ca="1" si="7"/>
        <v>9</v>
      </c>
      <c r="AN16" s="71">
        <f t="shared" ca="1" si="7"/>
        <v>6</v>
      </c>
      <c r="AO16" s="71" t="str">
        <f t="shared" ca="1" si="7"/>
        <v/>
      </c>
      <c r="AP16" s="71" t="str">
        <f t="shared" ca="1" si="7"/>
        <v/>
      </c>
      <c r="AQ16" s="71">
        <f t="shared" ca="1" si="7"/>
        <v>9</v>
      </c>
      <c r="AR16" s="71">
        <f t="shared" ca="1" si="7"/>
        <v>9</v>
      </c>
      <c r="AS16" s="71">
        <f t="shared" ca="1" si="7"/>
        <v>9</v>
      </c>
      <c r="AT16" s="71">
        <f t="shared" ca="1" si="7"/>
        <v>9</v>
      </c>
      <c r="AU16" s="71">
        <f t="shared" ca="1" si="7"/>
        <v>6</v>
      </c>
      <c r="AV16" s="71" t="str">
        <f t="shared" ca="1" si="7"/>
        <v/>
      </c>
      <c r="AW16" s="71" t="str">
        <f t="shared" ca="1" si="7"/>
        <v/>
      </c>
      <c r="AX16" s="71">
        <f t="shared" ca="1" si="7"/>
        <v>9</v>
      </c>
      <c r="AY16" s="71">
        <f t="shared" ca="1" si="3"/>
        <v>9</v>
      </c>
      <c r="AZ16" s="71">
        <f t="shared" ca="1" si="4"/>
        <v>9</v>
      </c>
      <c r="BA16" s="71">
        <f t="shared" ca="1" si="4"/>
        <v>9</v>
      </c>
      <c r="BB16" s="71">
        <f t="shared" ca="1" si="4"/>
        <v>6</v>
      </c>
      <c r="BC16" s="71" t="str">
        <f t="shared" ca="1" si="4"/>
        <v/>
      </c>
      <c r="BD16" s="71" t="str">
        <f t="shared" ca="1" si="4"/>
        <v/>
      </c>
      <c r="BE16" s="71">
        <f t="shared" ca="1" si="4"/>
        <v>9</v>
      </c>
      <c r="BF16" s="71">
        <f t="shared" ca="1" si="4"/>
        <v>9</v>
      </c>
      <c r="BG16" s="71">
        <f t="shared" ca="1" si="4"/>
        <v>9</v>
      </c>
      <c r="BH16" s="71">
        <f t="shared" ca="1" si="4"/>
        <v>9</v>
      </c>
      <c r="BI16" s="71">
        <f t="shared" ca="1" si="4"/>
        <v>6</v>
      </c>
      <c r="BJ16" s="71" t="str">
        <f t="shared" ca="1" si="4"/>
        <v/>
      </c>
      <c r="BK16" s="71" t="str">
        <f t="shared" ca="1" si="4"/>
        <v/>
      </c>
      <c r="BL16" s="71">
        <f t="shared" ca="1" si="4"/>
        <v>9</v>
      </c>
      <c r="BM16" s="71">
        <f t="shared" ca="1" si="4"/>
        <v>9</v>
      </c>
      <c r="BN16" s="71">
        <f t="shared" ca="1" si="4"/>
        <v>9</v>
      </c>
      <c r="BO16" s="71">
        <f t="shared" ca="1" si="4"/>
        <v>9</v>
      </c>
      <c r="BP16" s="71">
        <f t="shared" ca="1" si="4"/>
        <v>6</v>
      </c>
    </row>
    <row r="17" spans="1:68">
      <c r="A17" s="3"/>
      <c r="B17" s="1"/>
      <c r="C17" s="1"/>
      <c r="D17" s="45">
        <v>9</v>
      </c>
      <c r="E17" s="311" t="s">
        <v>232</v>
      </c>
      <c r="F17" s="312" t="s">
        <v>44</v>
      </c>
      <c r="G17" s="312"/>
      <c r="H17" s="313">
        <v>3000000</v>
      </c>
      <c r="I17" s="314">
        <f t="shared" ref="I17" si="8">G17+H17</f>
        <v>3000000</v>
      </c>
      <c r="J17" s="315"/>
      <c r="K17" s="367">
        <f t="shared" si="5"/>
        <v>27301.5873015873</v>
      </c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</row>
    <row r="18" spans="1:68">
      <c r="A18" s="3"/>
      <c r="B18" s="1"/>
      <c r="C18" s="1"/>
      <c r="D18" s="45"/>
      <c r="E18" s="24"/>
      <c r="F18" s="6"/>
      <c r="G18" s="93"/>
      <c r="H18" s="70"/>
      <c r="I18" s="86"/>
      <c r="J18" s="82"/>
      <c r="K18" s="367">
        <f t="shared" si="5"/>
        <v>0</v>
      </c>
      <c r="L18" s="71" t="str">
        <f t="shared" ref="L18:P21" ca="1" si="9">IF($E18="","",IF(OR(L$1="s",L$1="d"),"",IF(L$25&lt;TODAY(),"",IF(L$1="v",6,9))))</f>
        <v/>
      </c>
      <c r="M18" s="71" t="str">
        <f t="shared" ca="1" si="9"/>
        <v/>
      </c>
      <c r="N18" s="71" t="str">
        <f t="shared" ca="1" si="9"/>
        <v/>
      </c>
      <c r="O18" s="71" t="str">
        <f t="shared" ca="1" si="9"/>
        <v/>
      </c>
      <c r="P18" s="71" t="str">
        <f t="shared" ca="1" si="9"/>
        <v/>
      </c>
      <c r="Q18" s="71" t="str">
        <f t="shared" ref="Q18:AZ19" ca="1" si="10">IF($E18="","",IF(OR(Q$1="s",Q$1="d"),"",IF(Q$25&lt;TODAY(),"",IF(Q$1="v",6,9))))</f>
        <v/>
      </c>
      <c r="R18" s="71" t="str">
        <f t="shared" ca="1" si="10"/>
        <v/>
      </c>
      <c r="S18" s="71" t="str">
        <f t="shared" ca="1" si="10"/>
        <v/>
      </c>
      <c r="T18" s="71" t="str">
        <f t="shared" ca="1" si="10"/>
        <v/>
      </c>
      <c r="U18" s="71" t="str">
        <f t="shared" ca="1" si="10"/>
        <v/>
      </c>
      <c r="V18" s="71" t="str">
        <f t="shared" ca="1" si="10"/>
        <v/>
      </c>
      <c r="W18" s="71" t="str">
        <f t="shared" ca="1" si="10"/>
        <v/>
      </c>
      <c r="X18" s="71" t="str">
        <f t="shared" ca="1" si="10"/>
        <v/>
      </c>
      <c r="Y18" s="71" t="str">
        <f t="shared" ca="1" si="10"/>
        <v/>
      </c>
      <c r="Z18" s="71" t="str">
        <f t="shared" ca="1" si="10"/>
        <v/>
      </c>
      <c r="AA18" s="71" t="str">
        <f t="shared" ca="1" si="10"/>
        <v/>
      </c>
      <c r="AB18" s="71" t="str">
        <f t="shared" ca="1" si="10"/>
        <v/>
      </c>
      <c r="AC18" s="71"/>
      <c r="AD18" s="71" t="str">
        <f t="shared" ca="1" si="10"/>
        <v/>
      </c>
      <c r="AE18" s="71" t="str">
        <f t="shared" ca="1" si="10"/>
        <v/>
      </c>
      <c r="AF18" s="71" t="str">
        <f t="shared" ca="1" si="10"/>
        <v/>
      </c>
      <c r="AG18" s="71" t="str">
        <f t="shared" ca="1" si="10"/>
        <v/>
      </c>
      <c r="AH18" s="71" t="str">
        <f t="shared" ca="1" si="10"/>
        <v/>
      </c>
      <c r="AI18" s="71" t="str">
        <f t="shared" ca="1" si="10"/>
        <v/>
      </c>
      <c r="AJ18" s="71" t="str">
        <f t="shared" ca="1" si="10"/>
        <v/>
      </c>
      <c r="AK18" s="71" t="str">
        <f t="shared" ca="1" si="10"/>
        <v/>
      </c>
      <c r="AL18" s="71" t="str">
        <f t="shared" ca="1" si="10"/>
        <v/>
      </c>
      <c r="AM18" s="71" t="str">
        <f t="shared" ca="1" si="10"/>
        <v/>
      </c>
      <c r="AN18" s="71" t="str">
        <f t="shared" ca="1" si="10"/>
        <v/>
      </c>
      <c r="AO18" s="71" t="str">
        <f t="shared" ca="1" si="10"/>
        <v/>
      </c>
      <c r="AP18" s="71" t="str">
        <f t="shared" ca="1" si="10"/>
        <v/>
      </c>
      <c r="AQ18" s="71" t="str">
        <f t="shared" ca="1" si="10"/>
        <v/>
      </c>
      <c r="AR18" s="71" t="str">
        <f t="shared" ca="1" si="10"/>
        <v/>
      </c>
      <c r="AS18" s="71" t="str">
        <f t="shared" ca="1" si="10"/>
        <v/>
      </c>
      <c r="AT18" s="71" t="str">
        <f t="shared" ca="1" si="10"/>
        <v/>
      </c>
      <c r="AU18" s="71" t="str">
        <f t="shared" ca="1" si="10"/>
        <v/>
      </c>
      <c r="AV18" s="71" t="str">
        <f t="shared" ca="1" si="10"/>
        <v/>
      </c>
      <c r="AW18" s="71" t="str">
        <f t="shared" ca="1" si="10"/>
        <v/>
      </c>
      <c r="AX18" s="71" t="str">
        <f t="shared" ca="1" si="10"/>
        <v/>
      </c>
      <c r="AY18" s="71" t="str">
        <f ca="1">IF($E18="","",IF(OR(AY$1="s",AY$1="d"),"",IF(AY$25&lt;TODAY(),"",IF(AY$1="v",6,9))))</f>
        <v/>
      </c>
      <c r="AZ18" s="71" t="str">
        <f t="shared" ca="1" si="10"/>
        <v/>
      </c>
      <c r="BA18" s="71" t="str">
        <f t="shared" ref="BA18:BP18" ca="1" si="11">IF($E18="","",IF(OR(BA$1="s",BA$1="d"),"",IF(BA$25&lt;TODAY(),"",IF(BA$1="v",6,9))))</f>
        <v/>
      </c>
      <c r="BB18" s="71" t="str">
        <f t="shared" ca="1" si="11"/>
        <v/>
      </c>
      <c r="BC18" s="71" t="str">
        <f t="shared" ca="1" si="11"/>
        <v/>
      </c>
      <c r="BD18" s="71" t="str">
        <f t="shared" ca="1" si="11"/>
        <v/>
      </c>
      <c r="BE18" s="71" t="str">
        <f t="shared" ca="1" si="11"/>
        <v/>
      </c>
      <c r="BF18" s="71" t="str">
        <f t="shared" ca="1" si="11"/>
        <v/>
      </c>
      <c r="BG18" s="71" t="str">
        <f t="shared" ca="1" si="11"/>
        <v/>
      </c>
      <c r="BH18" s="71" t="str">
        <f t="shared" ca="1" si="11"/>
        <v/>
      </c>
      <c r="BI18" s="71" t="str">
        <f t="shared" ca="1" si="11"/>
        <v/>
      </c>
      <c r="BJ18" s="71" t="str">
        <f t="shared" ca="1" si="11"/>
        <v/>
      </c>
      <c r="BK18" s="71" t="str">
        <f t="shared" ca="1" si="11"/>
        <v/>
      </c>
      <c r="BL18" s="71" t="str">
        <f t="shared" ca="1" si="11"/>
        <v/>
      </c>
      <c r="BM18" s="71" t="str">
        <f t="shared" ca="1" si="11"/>
        <v/>
      </c>
      <c r="BN18" s="71" t="str">
        <f t="shared" ca="1" si="11"/>
        <v/>
      </c>
      <c r="BO18" s="71" t="str">
        <f t="shared" ca="1" si="11"/>
        <v/>
      </c>
      <c r="BP18" s="71" t="str">
        <f t="shared" ca="1" si="11"/>
        <v/>
      </c>
    </row>
    <row r="19" spans="1:68">
      <c r="A19" s="3"/>
      <c r="B19" s="1"/>
      <c r="C19" s="1"/>
      <c r="D19" s="45"/>
      <c r="E19" s="24"/>
      <c r="F19" s="6"/>
      <c r="G19" s="6"/>
      <c r="H19" s="6"/>
      <c r="I19" s="6"/>
      <c r="J19" s="82"/>
      <c r="K19" s="239"/>
      <c r="L19" s="33" t="str">
        <f t="shared" ca="1" si="9"/>
        <v/>
      </c>
      <c r="M19" s="33" t="str">
        <f t="shared" ca="1" si="9"/>
        <v/>
      </c>
      <c r="N19" s="33" t="str">
        <f t="shared" ca="1" si="9"/>
        <v/>
      </c>
      <c r="O19" s="33" t="str">
        <f t="shared" ca="1" si="9"/>
        <v/>
      </c>
      <c r="P19" s="33" t="str">
        <f t="shared" ca="1" si="9"/>
        <v/>
      </c>
      <c r="Q19" s="33" t="str">
        <f t="shared" ca="1" si="10"/>
        <v/>
      </c>
      <c r="R19" s="33" t="str">
        <f t="shared" ca="1" si="10"/>
        <v/>
      </c>
      <c r="S19" s="33" t="str">
        <f t="shared" ca="1" si="10"/>
        <v/>
      </c>
      <c r="T19" s="33" t="str">
        <f t="shared" ca="1" si="10"/>
        <v/>
      </c>
      <c r="U19" s="33" t="str">
        <f t="shared" ca="1" si="10"/>
        <v/>
      </c>
      <c r="V19" s="33" t="str">
        <f t="shared" ca="1" si="10"/>
        <v/>
      </c>
      <c r="W19" s="33" t="str">
        <f t="shared" ca="1" si="10"/>
        <v/>
      </c>
      <c r="X19" s="33" t="str">
        <f t="shared" ca="1" si="10"/>
        <v/>
      </c>
      <c r="Y19" s="33" t="str">
        <f t="shared" ca="1" si="10"/>
        <v/>
      </c>
      <c r="Z19" s="33" t="str">
        <f t="shared" ca="1" si="10"/>
        <v/>
      </c>
      <c r="AA19" s="33" t="str">
        <f t="shared" ca="1" si="10"/>
        <v/>
      </c>
      <c r="AB19" s="33" t="str">
        <f t="shared" ca="1" si="10"/>
        <v/>
      </c>
      <c r="AC19" s="33"/>
      <c r="AD19" s="33" t="str">
        <f t="shared" ca="1" si="10"/>
        <v/>
      </c>
      <c r="AE19" s="33" t="str">
        <f t="shared" ca="1" si="10"/>
        <v/>
      </c>
      <c r="AF19" s="33" t="str">
        <f t="shared" ca="1" si="10"/>
        <v/>
      </c>
      <c r="AG19" s="33" t="str">
        <f t="shared" ca="1" si="10"/>
        <v/>
      </c>
      <c r="AH19" s="33" t="str">
        <f t="shared" ca="1" si="10"/>
        <v/>
      </c>
      <c r="AI19" s="33" t="str">
        <f t="shared" ca="1" si="10"/>
        <v/>
      </c>
      <c r="AJ19" s="33" t="str">
        <f t="shared" ca="1" si="10"/>
        <v/>
      </c>
      <c r="AK19" s="33" t="str">
        <f t="shared" ca="1" si="10"/>
        <v/>
      </c>
      <c r="AL19" s="33" t="str">
        <f t="shared" ca="1" si="10"/>
        <v/>
      </c>
      <c r="AM19" s="33" t="str">
        <f t="shared" ca="1" si="10"/>
        <v/>
      </c>
      <c r="AN19" s="33" t="str">
        <f t="shared" ca="1" si="10"/>
        <v/>
      </c>
      <c r="AO19" s="33" t="str">
        <f t="shared" ca="1" si="10"/>
        <v/>
      </c>
      <c r="AP19" s="33" t="str">
        <f t="shared" ca="1" si="10"/>
        <v/>
      </c>
      <c r="AQ19" s="33" t="str">
        <f t="shared" ca="1" si="10"/>
        <v/>
      </c>
      <c r="AR19" s="33" t="str">
        <f t="shared" ca="1" si="10"/>
        <v/>
      </c>
      <c r="AS19" s="33" t="str">
        <f t="shared" ca="1" si="10"/>
        <v/>
      </c>
      <c r="AT19" s="33" t="str">
        <f t="shared" ca="1" si="10"/>
        <v/>
      </c>
      <c r="AU19" s="33" t="str">
        <f t="shared" ca="1" si="10"/>
        <v/>
      </c>
      <c r="AV19" s="33" t="str">
        <f t="shared" ca="1" si="10"/>
        <v/>
      </c>
      <c r="AW19" s="33" t="str">
        <f t="shared" ca="1" si="10"/>
        <v/>
      </c>
      <c r="AX19" s="33" t="str">
        <f t="shared" ca="1" si="10"/>
        <v/>
      </c>
      <c r="AY19" s="33" t="str">
        <f ca="1">IF($E19="","",IF(OR(AY$1="s",AY$1="d"),"",IF(AY$25&lt;TODAY(),"",IF(AY$1="v",6,9))))</f>
        <v/>
      </c>
      <c r="AZ19" s="33" t="str">
        <f t="shared" ref="AZ19:BP19" ca="1" si="12">IF($E19="","",IF(OR(AZ$1="s",AZ$1="d"),"",IF(AZ$25&lt;TODAY(),"",IF(AZ$1="v",6,9))))</f>
        <v/>
      </c>
      <c r="BA19" s="33" t="str">
        <f t="shared" ca="1" si="12"/>
        <v/>
      </c>
      <c r="BB19" s="33" t="str">
        <f t="shared" ca="1" si="12"/>
        <v/>
      </c>
      <c r="BC19" s="33" t="str">
        <f t="shared" ca="1" si="12"/>
        <v/>
      </c>
      <c r="BD19" s="33" t="str">
        <f t="shared" ca="1" si="12"/>
        <v/>
      </c>
      <c r="BE19" s="33" t="str">
        <f t="shared" ca="1" si="12"/>
        <v/>
      </c>
      <c r="BF19" s="33" t="str">
        <f t="shared" ca="1" si="12"/>
        <v/>
      </c>
      <c r="BG19" s="33" t="str">
        <f t="shared" ca="1" si="12"/>
        <v/>
      </c>
      <c r="BH19" s="33" t="str">
        <f t="shared" ca="1" si="12"/>
        <v/>
      </c>
      <c r="BI19" s="33" t="str">
        <f t="shared" ca="1" si="12"/>
        <v/>
      </c>
      <c r="BJ19" s="33" t="str">
        <f t="shared" ca="1" si="12"/>
        <v/>
      </c>
      <c r="BK19" s="33" t="str">
        <f t="shared" ca="1" si="12"/>
        <v/>
      </c>
      <c r="BL19" s="33" t="str">
        <f t="shared" ca="1" si="12"/>
        <v/>
      </c>
      <c r="BM19" s="33" t="str">
        <f t="shared" ca="1" si="12"/>
        <v/>
      </c>
      <c r="BN19" s="33" t="str">
        <f t="shared" ca="1" si="12"/>
        <v/>
      </c>
      <c r="BO19" s="33" t="str">
        <f t="shared" ca="1" si="12"/>
        <v/>
      </c>
      <c r="BP19" s="33" t="str">
        <f t="shared" ca="1" si="12"/>
        <v/>
      </c>
    </row>
    <row r="20" spans="1:68" ht="17" thickBot="1">
      <c r="A20" s="3"/>
      <c r="B20" s="1"/>
      <c r="C20" s="1"/>
      <c r="D20" s="45"/>
      <c r="E20" s="24"/>
      <c r="F20" s="6"/>
      <c r="G20" s="6"/>
      <c r="H20" s="6"/>
      <c r="I20" s="6"/>
      <c r="J20" s="82"/>
      <c r="K20" s="34"/>
      <c r="L20" s="33" t="str">
        <f t="shared" ca="1" si="9"/>
        <v/>
      </c>
      <c r="M20" s="33" t="str">
        <f t="shared" ca="1" si="9"/>
        <v/>
      </c>
      <c r="N20" s="33" t="str">
        <f t="shared" ca="1" si="9"/>
        <v/>
      </c>
      <c r="O20" s="33" t="str">
        <f t="shared" ca="1" si="9"/>
        <v/>
      </c>
      <c r="P20" s="33" t="str">
        <f t="shared" ca="1" si="9"/>
        <v/>
      </c>
      <c r="Q20" s="33" t="str">
        <f ca="1">IF($E20="","",IF(OR(Q$1="s",Q$1="d"),"",IF(Q$25&lt;TODAY(),"",IF(Q$1="v",6,9))))</f>
        <v/>
      </c>
      <c r="R20" s="33" t="str">
        <f ca="1">IF($E20="","",IF(OR(R$1="s",R$1="d"),"",IF(#REF!&lt;TODAY(),"",IF(R$1="v",6,9))))</f>
        <v/>
      </c>
      <c r="S20" s="33" t="str">
        <f ca="1">IF($E20="","",IF(OR(S$1="s",S$1="d"),"",IF(R$25&lt;TODAY(),"",IF(S$1="v",6,9))))</f>
        <v/>
      </c>
      <c r="T20" s="33" t="str">
        <f t="shared" ref="T20:AY20" ca="1" si="13">IF($E20="","",IF(OR(T$1="s",T$1="d"),"",IF(S$25&lt;TODAY(),"",IF(T$1="v",6,9))))</f>
        <v/>
      </c>
      <c r="U20" s="33" t="str">
        <f t="shared" ca="1" si="13"/>
        <v/>
      </c>
      <c r="V20" s="33" t="str">
        <f t="shared" ca="1" si="13"/>
        <v/>
      </c>
      <c r="W20" s="33" t="str">
        <f t="shared" ca="1" si="13"/>
        <v/>
      </c>
      <c r="X20" s="33" t="str">
        <f t="shared" ca="1" si="13"/>
        <v/>
      </c>
      <c r="Y20" s="33" t="str">
        <f t="shared" ca="1" si="13"/>
        <v/>
      </c>
      <c r="Z20" s="33" t="str">
        <f t="shared" ca="1" si="13"/>
        <v/>
      </c>
      <c r="AA20" s="33" t="str">
        <f t="shared" ca="1" si="13"/>
        <v/>
      </c>
      <c r="AB20" s="33" t="str">
        <f t="shared" ca="1" si="13"/>
        <v/>
      </c>
      <c r="AC20" s="33" t="str">
        <f t="shared" ca="1" si="13"/>
        <v/>
      </c>
      <c r="AD20" s="33" t="str">
        <f t="shared" ca="1" si="13"/>
        <v/>
      </c>
      <c r="AE20" s="33" t="str">
        <f t="shared" ca="1" si="13"/>
        <v/>
      </c>
      <c r="AF20" s="33" t="str">
        <f t="shared" ca="1" si="13"/>
        <v/>
      </c>
      <c r="AG20" s="33" t="str">
        <f t="shared" ca="1" si="13"/>
        <v/>
      </c>
      <c r="AH20" s="33" t="str">
        <f t="shared" ca="1" si="13"/>
        <v/>
      </c>
      <c r="AI20" s="33" t="str">
        <f t="shared" ca="1" si="13"/>
        <v/>
      </c>
      <c r="AJ20" s="33" t="str">
        <f t="shared" ca="1" si="13"/>
        <v/>
      </c>
      <c r="AK20" s="33" t="str">
        <f t="shared" ca="1" si="13"/>
        <v/>
      </c>
      <c r="AL20" s="33" t="str">
        <f t="shared" ca="1" si="13"/>
        <v/>
      </c>
      <c r="AM20" s="33" t="str">
        <f t="shared" ca="1" si="13"/>
        <v/>
      </c>
      <c r="AN20" s="33" t="str">
        <f t="shared" ca="1" si="13"/>
        <v/>
      </c>
      <c r="AO20" s="33" t="str">
        <f t="shared" ca="1" si="13"/>
        <v/>
      </c>
      <c r="AP20" s="33" t="str">
        <f t="shared" ca="1" si="13"/>
        <v/>
      </c>
      <c r="AQ20" s="33" t="str">
        <f t="shared" ca="1" si="13"/>
        <v/>
      </c>
      <c r="AR20" s="33" t="str">
        <f t="shared" ca="1" si="13"/>
        <v/>
      </c>
      <c r="AS20" s="33" t="str">
        <f t="shared" ca="1" si="13"/>
        <v/>
      </c>
      <c r="AT20" s="33" t="str">
        <f t="shared" ca="1" si="13"/>
        <v/>
      </c>
      <c r="AU20" s="33" t="str">
        <f t="shared" ca="1" si="13"/>
        <v/>
      </c>
      <c r="AV20" s="33" t="str">
        <f t="shared" ca="1" si="13"/>
        <v/>
      </c>
      <c r="AW20" s="33" t="str">
        <f t="shared" ca="1" si="13"/>
        <v/>
      </c>
      <c r="AX20" s="33" t="str">
        <f t="shared" ca="1" si="13"/>
        <v/>
      </c>
      <c r="AY20" s="33" t="str">
        <f t="shared" ca="1" si="13"/>
        <v/>
      </c>
      <c r="AZ20" s="33" t="str">
        <f t="shared" ref="AZ20:BP20" ca="1" si="14">IF($E20="","",IF(OR(AZ$1="s",AZ$1="d"),"",IF(AY$25&lt;TODAY(),"",IF(AZ$1="v",6,9))))</f>
        <v/>
      </c>
      <c r="BA20" s="33" t="str">
        <f t="shared" ca="1" si="14"/>
        <v/>
      </c>
      <c r="BB20" s="33" t="str">
        <f t="shared" ca="1" si="14"/>
        <v/>
      </c>
      <c r="BC20" s="33" t="str">
        <f t="shared" ca="1" si="14"/>
        <v/>
      </c>
      <c r="BD20" s="33" t="str">
        <f t="shared" ca="1" si="14"/>
        <v/>
      </c>
      <c r="BE20" s="33" t="str">
        <f t="shared" ca="1" si="14"/>
        <v/>
      </c>
      <c r="BF20" s="33" t="str">
        <f t="shared" ca="1" si="14"/>
        <v/>
      </c>
      <c r="BG20" s="33" t="str">
        <f t="shared" ca="1" si="14"/>
        <v/>
      </c>
      <c r="BH20" s="33" t="str">
        <f t="shared" ca="1" si="14"/>
        <v/>
      </c>
      <c r="BI20" s="33" t="str">
        <f t="shared" ca="1" si="14"/>
        <v/>
      </c>
      <c r="BJ20" s="33" t="str">
        <f t="shared" ca="1" si="14"/>
        <v/>
      </c>
      <c r="BK20" s="33" t="str">
        <f t="shared" ca="1" si="14"/>
        <v/>
      </c>
      <c r="BL20" s="33" t="str">
        <f t="shared" ca="1" si="14"/>
        <v/>
      </c>
      <c r="BM20" s="33" t="str">
        <f t="shared" ca="1" si="14"/>
        <v/>
      </c>
      <c r="BN20" s="33" t="str">
        <f t="shared" ca="1" si="14"/>
        <v/>
      </c>
      <c r="BO20" s="33" t="str">
        <f t="shared" ca="1" si="14"/>
        <v/>
      </c>
      <c r="BP20" s="33" t="str">
        <f t="shared" ca="1" si="14"/>
        <v/>
      </c>
    </row>
    <row r="21" spans="1:68" ht="17" thickBot="1">
      <c r="A21" s="17"/>
      <c r="B21" s="17"/>
      <c r="C21" s="35"/>
      <c r="D21" s="46"/>
      <c r="E21" s="35"/>
      <c r="F21" s="35"/>
      <c r="G21" s="32">
        <f>SUBTOTAL(9,G9:G18)</f>
        <v>12256335</v>
      </c>
      <c r="H21" s="32">
        <f>SUBTOTAL(9,H9:H18)</f>
        <v>9520000</v>
      </c>
      <c r="I21" s="5">
        <f>SUBTOTAL(9,I9:I18)</f>
        <v>21776335</v>
      </c>
      <c r="J21" s="8"/>
      <c r="K21" s="2"/>
      <c r="L21" s="33" t="str">
        <f t="shared" ca="1" si="9"/>
        <v/>
      </c>
      <c r="M21" s="33" t="str">
        <f t="shared" ca="1" si="9"/>
        <v/>
      </c>
      <c r="N21" s="33" t="str">
        <f t="shared" ca="1" si="9"/>
        <v/>
      </c>
      <c r="O21" s="33" t="str">
        <f t="shared" ca="1" si="9"/>
        <v/>
      </c>
      <c r="P21" s="33" t="str">
        <f t="shared" ca="1" si="9"/>
        <v/>
      </c>
      <c r="Q21" s="33" t="str">
        <f ca="1">IF($E21="","",IF(OR(Q$1="s",Q$1="d"),"",IF(Q$25&lt;TODAY(),"",IF(Q$1="v",6,9))))</f>
        <v/>
      </c>
      <c r="R21" s="33" t="str">
        <f ca="1">IF($E21="","",IF(OR(R$1="s",R$1="d"),"",IF(#REF!&lt;TODAY(),"",IF(R$1="v",6,9))))</f>
        <v/>
      </c>
      <c r="S21" s="33" t="str">
        <f ca="1">IF($E21="","",IF(OR(S$1="s",S$1="d"),"",IF(R$25&lt;TODAY(),"",IF(S$1="v",6,9))))</f>
        <v/>
      </c>
      <c r="T21" s="33" t="str">
        <f t="shared" ref="T21:AY21" ca="1" si="15">IF($E21="","",IF(OR(T$1="s",T$1="d"),"",IF(S$25&lt;TODAY(),"",IF(T$1="v",6,9))))</f>
        <v/>
      </c>
      <c r="U21" s="33" t="str">
        <f t="shared" ca="1" si="15"/>
        <v/>
      </c>
      <c r="V21" s="33" t="str">
        <f t="shared" ca="1" si="15"/>
        <v/>
      </c>
      <c r="W21" s="33" t="str">
        <f t="shared" ca="1" si="15"/>
        <v/>
      </c>
      <c r="X21" s="33" t="str">
        <f t="shared" ca="1" si="15"/>
        <v/>
      </c>
      <c r="Y21" s="33" t="str">
        <f t="shared" ca="1" si="15"/>
        <v/>
      </c>
      <c r="Z21" s="33" t="str">
        <f t="shared" ca="1" si="15"/>
        <v/>
      </c>
      <c r="AA21" s="33" t="str">
        <f t="shared" ca="1" si="15"/>
        <v/>
      </c>
      <c r="AB21" s="33" t="str">
        <f t="shared" ca="1" si="15"/>
        <v/>
      </c>
      <c r="AC21" s="33" t="str">
        <f t="shared" ca="1" si="15"/>
        <v/>
      </c>
      <c r="AD21" s="33" t="str">
        <f t="shared" ca="1" si="15"/>
        <v/>
      </c>
      <c r="AE21" s="33" t="str">
        <f t="shared" ca="1" si="15"/>
        <v/>
      </c>
      <c r="AF21" s="33" t="str">
        <f t="shared" ca="1" si="15"/>
        <v/>
      </c>
      <c r="AG21" s="33" t="str">
        <f t="shared" ca="1" si="15"/>
        <v/>
      </c>
      <c r="AH21" s="33" t="str">
        <f t="shared" ca="1" si="15"/>
        <v/>
      </c>
      <c r="AI21" s="33" t="str">
        <f t="shared" ca="1" si="15"/>
        <v/>
      </c>
      <c r="AJ21" s="33" t="str">
        <f t="shared" ca="1" si="15"/>
        <v/>
      </c>
      <c r="AK21" s="33" t="str">
        <f t="shared" ca="1" si="15"/>
        <v/>
      </c>
      <c r="AL21" s="33" t="str">
        <f t="shared" ca="1" si="15"/>
        <v/>
      </c>
      <c r="AM21" s="33" t="str">
        <f t="shared" ca="1" si="15"/>
        <v/>
      </c>
      <c r="AN21" s="33" t="str">
        <f t="shared" ca="1" si="15"/>
        <v/>
      </c>
      <c r="AO21" s="33" t="str">
        <f t="shared" ca="1" si="15"/>
        <v/>
      </c>
      <c r="AP21" s="33" t="str">
        <f t="shared" ca="1" si="15"/>
        <v/>
      </c>
      <c r="AQ21" s="33" t="str">
        <f t="shared" ca="1" si="15"/>
        <v/>
      </c>
      <c r="AR21" s="33" t="str">
        <f t="shared" ca="1" si="15"/>
        <v/>
      </c>
      <c r="AS21" s="33" t="str">
        <f t="shared" ca="1" si="15"/>
        <v/>
      </c>
      <c r="AT21" s="33" t="str">
        <f t="shared" ca="1" si="15"/>
        <v/>
      </c>
      <c r="AU21" s="33" t="str">
        <f t="shared" ca="1" si="15"/>
        <v/>
      </c>
      <c r="AV21" s="33" t="str">
        <f t="shared" ca="1" si="15"/>
        <v/>
      </c>
      <c r="AW21" s="33" t="str">
        <f t="shared" ca="1" si="15"/>
        <v/>
      </c>
      <c r="AX21" s="33" t="str">
        <f t="shared" ca="1" si="15"/>
        <v/>
      </c>
      <c r="AY21" s="33" t="str">
        <f t="shared" ca="1" si="15"/>
        <v/>
      </c>
      <c r="AZ21" s="33" t="str">
        <f t="shared" ref="AZ21:BP21" ca="1" si="16">IF($E21="","",IF(OR(AZ$1="s",AZ$1="d"),"",IF(AY$25&lt;TODAY(),"",IF(AZ$1="v",6,9))))</f>
        <v/>
      </c>
      <c r="BA21" s="33" t="str">
        <f t="shared" ca="1" si="16"/>
        <v/>
      </c>
      <c r="BB21" s="33" t="str">
        <f t="shared" ca="1" si="16"/>
        <v/>
      </c>
      <c r="BC21" s="33" t="str">
        <f t="shared" ca="1" si="16"/>
        <v/>
      </c>
      <c r="BD21" s="33" t="str">
        <f t="shared" ca="1" si="16"/>
        <v/>
      </c>
      <c r="BE21" s="33" t="str">
        <f t="shared" ca="1" si="16"/>
        <v/>
      </c>
      <c r="BF21" s="33" t="str">
        <f t="shared" ca="1" si="16"/>
        <v/>
      </c>
      <c r="BG21" s="33" t="str">
        <f t="shared" ca="1" si="16"/>
        <v/>
      </c>
      <c r="BH21" s="33" t="str">
        <f t="shared" ca="1" si="16"/>
        <v/>
      </c>
      <c r="BI21" s="33" t="str">
        <f t="shared" ca="1" si="16"/>
        <v/>
      </c>
      <c r="BJ21" s="33" t="str">
        <f t="shared" ca="1" si="16"/>
        <v/>
      </c>
      <c r="BK21" s="33" t="str">
        <f t="shared" ca="1" si="16"/>
        <v/>
      </c>
      <c r="BL21" s="33" t="str">
        <f t="shared" ca="1" si="16"/>
        <v/>
      </c>
      <c r="BM21" s="33" t="str">
        <f t="shared" ca="1" si="16"/>
        <v/>
      </c>
      <c r="BN21" s="33" t="str">
        <f t="shared" ca="1" si="16"/>
        <v/>
      </c>
      <c r="BO21" s="33" t="str">
        <f t="shared" ca="1" si="16"/>
        <v/>
      </c>
      <c r="BP21" s="33" t="str">
        <f t="shared" ca="1" si="16"/>
        <v/>
      </c>
    </row>
    <row r="22" spans="1:68" ht="17" thickBot="1">
      <c r="A22" s="17"/>
      <c r="B22" s="17"/>
      <c r="E22" s="58" t="s">
        <v>56</v>
      </c>
      <c r="F22" s="59"/>
      <c r="G22" s="60"/>
      <c r="J22" s="9" t="s">
        <v>57</v>
      </c>
      <c r="K22" s="37" t="e">
        <f>SUM(#REF!)</f>
        <v>#REF!</v>
      </c>
      <c r="L22" s="38">
        <f t="shared" ref="L22:O22" ca="1" si="17">SUM(L9:L21)</f>
        <v>0</v>
      </c>
      <c r="M22" s="38">
        <f t="shared" ca="1" si="17"/>
        <v>0</v>
      </c>
      <c r="N22" s="38">
        <f t="shared" ca="1" si="17"/>
        <v>0</v>
      </c>
      <c r="O22" s="38">
        <f t="shared" ca="1" si="17"/>
        <v>0</v>
      </c>
      <c r="P22" s="38">
        <f t="shared" ref="P22:AU22" ca="1" si="18">SUM(P9:P21)</f>
        <v>0</v>
      </c>
      <c r="Q22" s="38">
        <f t="shared" ca="1" si="18"/>
        <v>0</v>
      </c>
      <c r="R22" s="38">
        <f t="shared" ca="1" si="18"/>
        <v>0</v>
      </c>
      <c r="S22" s="38">
        <f t="shared" ca="1" si="18"/>
        <v>0</v>
      </c>
      <c r="T22" s="38">
        <f t="shared" ca="1" si="18"/>
        <v>0</v>
      </c>
      <c r="U22" s="38">
        <f t="shared" ca="1" si="18"/>
        <v>0</v>
      </c>
      <c r="V22" s="38">
        <f t="shared" ca="1" si="18"/>
        <v>0</v>
      </c>
      <c r="W22" s="38">
        <f t="shared" ca="1" si="18"/>
        <v>0</v>
      </c>
      <c r="X22" s="38">
        <f t="shared" ca="1" si="18"/>
        <v>0</v>
      </c>
      <c r="Y22" s="38">
        <f t="shared" ca="1" si="18"/>
        <v>0</v>
      </c>
      <c r="Z22" s="38">
        <f t="shared" ca="1" si="18"/>
        <v>0</v>
      </c>
      <c r="AA22" s="38">
        <f t="shared" ca="1" si="18"/>
        <v>0</v>
      </c>
      <c r="AB22" s="38">
        <f t="shared" ca="1" si="18"/>
        <v>0</v>
      </c>
      <c r="AC22" s="38">
        <f t="shared" ca="1" si="18"/>
        <v>0</v>
      </c>
      <c r="AD22" s="38">
        <f t="shared" ca="1" si="18"/>
        <v>0</v>
      </c>
      <c r="AE22" s="38">
        <f t="shared" ca="1" si="18"/>
        <v>0</v>
      </c>
      <c r="AF22" s="38">
        <f t="shared" ca="1" si="18"/>
        <v>0</v>
      </c>
      <c r="AG22" s="38">
        <f t="shared" ca="1" si="18"/>
        <v>0</v>
      </c>
      <c r="AH22" s="38">
        <f t="shared" ca="1" si="18"/>
        <v>0</v>
      </c>
      <c r="AI22" s="38">
        <f t="shared" ca="1" si="18"/>
        <v>0</v>
      </c>
      <c r="AJ22" s="38">
        <f t="shared" ca="1" si="18"/>
        <v>0</v>
      </c>
      <c r="AK22" s="38">
        <f t="shared" ca="1" si="18"/>
        <v>0</v>
      </c>
      <c r="AL22" s="38">
        <f t="shared" ca="1" si="18"/>
        <v>0</v>
      </c>
      <c r="AM22" s="38">
        <f t="shared" ca="1" si="18"/>
        <v>72</v>
      </c>
      <c r="AN22" s="38">
        <f t="shared" ca="1" si="18"/>
        <v>48</v>
      </c>
      <c r="AO22" s="38">
        <f t="shared" ca="1" si="18"/>
        <v>0</v>
      </c>
      <c r="AP22" s="38">
        <f t="shared" ca="1" si="18"/>
        <v>0</v>
      </c>
      <c r="AQ22" s="38">
        <f t="shared" ca="1" si="18"/>
        <v>72</v>
      </c>
      <c r="AR22" s="38">
        <f t="shared" ca="1" si="18"/>
        <v>72</v>
      </c>
      <c r="AS22" s="38">
        <f t="shared" ca="1" si="18"/>
        <v>72</v>
      </c>
      <c r="AT22" s="38">
        <f t="shared" ca="1" si="18"/>
        <v>72</v>
      </c>
      <c r="AU22" s="38">
        <f t="shared" ca="1" si="18"/>
        <v>48</v>
      </c>
      <c r="AV22" s="38">
        <f t="shared" ref="AV22:BP22" ca="1" si="19">SUM(AV9:AV21)</f>
        <v>0</v>
      </c>
      <c r="AW22" s="38">
        <f t="shared" ca="1" si="19"/>
        <v>0</v>
      </c>
      <c r="AX22" s="38">
        <f t="shared" ca="1" si="19"/>
        <v>72</v>
      </c>
      <c r="AY22" s="38">
        <f t="shared" ca="1" si="19"/>
        <v>72</v>
      </c>
      <c r="AZ22" s="38">
        <f t="shared" ca="1" si="19"/>
        <v>72</v>
      </c>
      <c r="BA22" s="38">
        <f t="shared" ca="1" si="19"/>
        <v>72</v>
      </c>
      <c r="BB22" s="38">
        <f t="shared" ca="1" si="19"/>
        <v>48</v>
      </c>
      <c r="BC22" s="38">
        <f t="shared" ca="1" si="19"/>
        <v>0</v>
      </c>
      <c r="BD22" s="38">
        <f t="shared" ca="1" si="19"/>
        <v>0</v>
      </c>
      <c r="BE22" s="38">
        <f t="shared" ca="1" si="19"/>
        <v>72</v>
      </c>
      <c r="BF22" s="38">
        <f t="shared" ca="1" si="19"/>
        <v>72</v>
      </c>
      <c r="BG22" s="38">
        <f t="shared" ca="1" si="19"/>
        <v>72</v>
      </c>
      <c r="BH22" s="38">
        <f t="shared" ca="1" si="19"/>
        <v>72</v>
      </c>
      <c r="BI22" s="38">
        <f t="shared" ca="1" si="19"/>
        <v>48</v>
      </c>
      <c r="BJ22" s="38">
        <f t="shared" ca="1" si="19"/>
        <v>0</v>
      </c>
      <c r="BK22" s="38">
        <f t="shared" ca="1" si="19"/>
        <v>0</v>
      </c>
      <c r="BL22" s="38">
        <f t="shared" ca="1" si="19"/>
        <v>72</v>
      </c>
      <c r="BM22" s="38">
        <f t="shared" ca="1" si="19"/>
        <v>72</v>
      </c>
      <c r="BN22" s="38">
        <f t="shared" ca="1" si="19"/>
        <v>72</v>
      </c>
      <c r="BO22" s="38">
        <f t="shared" ca="1" si="19"/>
        <v>72</v>
      </c>
      <c r="BP22" s="38">
        <f t="shared" ca="1" si="19"/>
        <v>48</v>
      </c>
    </row>
    <row r="23" spans="1:68" ht="17" thickBot="1">
      <c r="A23" s="17"/>
      <c r="B23" s="17"/>
      <c r="E23" s="39" t="s">
        <v>58</v>
      </c>
      <c r="F23" s="47">
        <f>COUNTIF(I9:I18,"&gt;0")</f>
        <v>9</v>
      </c>
      <c r="G23" s="10">
        <f>SUM(I9:I18)</f>
        <v>21776335</v>
      </c>
      <c r="J23" s="40" t="s">
        <v>59</v>
      </c>
      <c r="K23" s="22" t="e">
        <f>K22</f>
        <v>#REF!</v>
      </c>
      <c r="L23" s="389">
        <f ca="1">0+L22</f>
        <v>0</v>
      </c>
      <c r="M23" s="41">
        <f t="shared" ref="M23" ca="1" si="20">L23+M22</f>
        <v>0</v>
      </c>
      <c r="N23" s="41">
        <f t="shared" ref="N23" ca="1" si="21">M23+N22</f>
        <v>0</v>
      </c>
      <c r="O23" s="41">
        <f t="shared" ref="O23" ca="1" si="22">N23+O22</f>
        <v>0</v>
      </c>
      <c r="P23" s="41">
        <f t="shared" ref="P23" ca="1" si="23">O23+P22</f>
        <v>0</v>
      </c>
      <c r="Q23" s="41">
        <f t="shared" ref="Q23" ca="1" si="24">P23+Q22</f>
        <v>0</v>
      </c>
      <c r="R23" s="41">
        <f t="shared" ref="R23" ca="1" si="25">Q23+R22</f>
        <v>0</v>
      </c>
      <c r="S23" s="41">
        <f t="shared" ref="S23" ca="1" si="26">R23+S22</f>
        <v>0</v>
      </c>
      <c r="T23" s="41">
        <f t="shared" ref="T23" ca="1" si="27">S23+T22</f>
        <v>0</v>
      </c>
      <c r="U23" s="41">
        <f t="shared" ref="U23" ca="1" si="28">T23+U22</f>
        <v>0</v>
      </c>
      <c r="V23" s="41">
        <f t="shared" ref="V23" ca="1" si="29">U23+V22</f>
        <v>0</v>
      </c>
      <c r="W23" s="41">
        <f t="shared" ref="W23" ca="1" si="30">V23+W22</f>
        <v>0</v>
      </c>
      <c r="X23" s="41">
        <f t="shared" ref="X23" ca="1" si="31">W23+X22</f>
        <v>0</v>
      </c>
      <c r="Y23" s="41">
        <f t="shared" ref="Y23" ca="1" si="32">X23+Y22</f>
        <v>0</v>
      </c>
      <c r="Z23" s="41">
        <f t="shared" ref="Z23" ca="1" si="33">Y23+Z22</f>
        <v>0</v>
      </c>
      <c r="AA23" s="41">
        <f t="shared" ref="AA23" ca="1" si="34">Z23+AA22</f>
        <v>0</v>
      </c>
      <c r="AB23" s="41">
        <f t="shared" ref="AB23" ca="1" si="35">AA23+AB22</f>
        <v>0</v>
      </c>
      <c r="AC23" s="41">
        <f t="shared" ref="AC23" ca="1" si="36">AB23+AC22</f>
        <v>0</v>
      </c>
      <c r="AD23" s="41">
        <f t="shared" ref="AD23" ca="1" si="37">AC23+AD22</f>
        <v>0</v>
      </c>
      <c r="AE23" s="41">
        <f t="shared" ref="AE23" ca="1" si="38">AD23+AE22</f>
        <v>0</v>
      </c>
      <c r="AF23" s="41">
        <f t="shared" ref="AF23" ca="1" si="39">AE23+AF22</f>
        <v>0</v>
      </c>
      <c r="AG23" s="41">
        <f t="shared" ref="AG23" ca="1" si="40">AF23+AG22</f>
        <v>0</v>
      </c>
      <c r="AH23" s="41">
        <f t="shared" ref="AH23" ca="1" si="41">AG23+AH22</f>
        <v>0</v>
      </c>
      <c r="AI23" s="41">
        <f t="shared" ref="AI23" ca="1" si="42">AH23+AI22</f>
        <v>0</v>
      </c>
      <c r="AJ23" s="41">
        <f t="shared" ref="AJ23" ca="1" si="43">AI23+AJ22</f>
        <v>0</v>
      </c>
      <c r="AK23" s="41">
        <f t="shared" ref="AK23" ca="1" si="44">AJ23+AK22</f>
        <v>0</v>
      </c>
      <c r="AL23" s="41">
        <f t="shared" ref="AL23" ca="1" si="45">AK23+AL22</f>
        <v>0</v>
      </c>
      <c r="AM23" s="41">
        <f t="shared" ref="AM23" ca="1" si="46">AL23+AM22</f>
        <v>72</v>
      </c>
      <c r="AN23" s="41">
        <f t="shared" ref="AN23" ca="1" si="47">AM23+AN22</f>
        <v>120</v>
      </c>
      <c r="AO23" s="41">
        <f t="shared" ref="AO23" ca="1" si="48">AN23+AO22</f>
        <v>120</v>
      </c>
      <c r="AP23" s="41">
        <f t="shared" ref="AP23" ca="1" si="49">AO23+AP22</f>
        <v>120</v>
      </c>
      <c r="AQ23" s="41">
        <f t="shared" ref="AQ23" ca="1" si="50">AP23+AQ22</f>
        <v>192</v>
      </c>
      <c r="AR23" s="41">
        <f t="shared" ref="AR23" ca="1" si="51">AQ23+AR22</f>
        <v>264</v>
      </c>
      <c r="AS23" s="41">
        <f t="shared" ref="AS23" ca="1" si="52">AR23+AS22</f>
        <v>336</v>
      </c>
      <c r="AT23" s="41">
        <f t="shared" ref="AT23" ca="1" si="53">AS23+AT22</f>
        <v>408</v>
      </c>
      <c r="AU23" s="41">
        <f t="shared" ref="AU23" ca="1" si="54">AT23+AU22</f>
        <v>456</v>
      </c>
      <c r="AV23" s="41">
        <f t="shared" ref="AV23" ca="1" si="55">AU23+AV22</f>
        <v>456</v>
      </c>
      <c r="AW23" s="41">
        <f t="shared" ref="AW23" ca="1" si="56">AV23+AW22</f>
        <v>456</v>
      </c>
      <c r="AX23" s="41">
        <f t="shared" ref="AX23" ca="1" si="57">AW23+AX22</f>
        <v>528</v>
      </c>
      <c r="AY23" s="41">
        <f t="shared" ref="AY23" ca="1" si="58">AX23+AY22</f>
        <v>600</v>
      </c>
      <c r="AZ23" s="41">
        <f t="shared" ref="AZ23" ca="1" si="59">AY23+AZ22</f>
        <v>672</v>
      </c>
      <c r="BA23" s="41">
        <f t="shared" ref="BA23" ca="1" si="60">AZ23+BA22</f>
        <v>744</v>
      </c>
      <c r="BB23" s="41">
        <f t="shared" ref="BB23" ca="1" si="61">BA23+BB22</f>
        <v>792</v>
      </c>
      <c r="BC23" s="41">
        <f t="shared" ref="BC23" ca="1" si="62">BB23+BC22</f>
        <v>792</v>
      </c>
      <c r="BD23" s="41">
        <f t="shared" ref="BD23" ca="1" si="63">BC23+BD22</f>
        <v>792</v>
      </c>
      <c r="BE23" s="41">
        <f t="shared" ref="BE23" ca="1" si="64">BD23+BE22</f>
        <v>864</v>
      </c>
      <c r="BF23" s="41">
        <f t="shared" ref="BF23" ca="1" si="65">BE23+BF22</f>
        <v>936</v>
      </c>
      <c r="BG23" s="41">
        <f t="shared" ref="BG23" ca="1" si="66">BF23+BG22</f>
        <v>1008</v>
      </c>
      <c r="BH23" s="41">
        <f t="shared" ref="BH23" ca="1" si="67">BG23+BH22</f>
        <v>1080</v>
      </c>
      <c r="BI23" s="41">
        <f t="shared" ref="BI23" ca="1" si="68">BH23+BI22</f>
        <v>1128</v>
      </c>
      <c r="BJ23" s="41">
        <f t="shared" ref="BJ23" ca="1" si="69">BI23+BJ22</f>
        <v>1128</v>
      </c>
      <c r="BK23" s="41">
        <f t="shared" ref="BK23" ca="1" si="70">BJ23+BK22</f>
        <v>1128</v>
      </c>
      <c r="BL23" s="41">
        <f t="shared" ref="BL23" ca="1" si="71">BK23+BL22</f>
        <v>1200</v>
      </c>
      <c r="BM23" s="41">
        <f t="shared" ref="BM23" ca="1" si="72">BL23+BM22</f>
        <v>1272</v>
      </c>
      <c r="BN23" s="41">
        <f t="shared" ref="BN23" ca="1" si="73">BM23+BN22</f>
        <v>1344</v>
      </c>
      <c r="BO23" s="41">
        <f t="shared" ref="BO23" ca="1" si="74">BN23+BO22</f>
        <v>1416</v>
      </c>
      <c r="BP23" s="41">
        <f t="shared" ref="BP23" ca="1" si="75">BO23+BP22</f>
        <v>1464</v>
      </c>
    </row>
    <row r="24" spans="1:68">
      <c r="A24" s="17"/>
      <c r="B24" s="17"/>
      <c r="C24" s="3"/>
      <c r="D24" s="3"/>
      <c r="E24" s="3"/>
      <c r="K24" s="42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</row>
    <row r="25" spans="1:68" ht="24">
      <c r="A25" s="106"/>
      <c r="C25" s="107"/>
      <c r="D25" s="107"/>
      <c r="E25" s="107"/>
      <c r="F25" s="107"/>
      <c r="G25" s="107"/>
      <c r="H25" s="107"/>
      <c r="I25" s="107"/>
      <c r="J25" s="107"/>
      <c r="K25" s="13"/>
      <c r="L25" s="187">
        <v>46143</v>
      </c>
      <c r="M25" s="187">
        <v>46144</v>
      </c>
      <c r="N25" s="187">
        <v>46145</v>
      </c>
      <c r="O25" s="187">
        <v>46146</v>
      </c>
      <c r="P25" s="187">
        <v>46147</v>
      </c>
      <c r="Q25" s="187">
        <v>46148</v>
      </c>
      <c r="R25" s="187">
        <v>46149</v>
      </c>
      <c r="S25" s="187">
        <v>46150</v>
      </c>
      <c r="T25" s="187">
        <v>46151</v>
      </c>
      <c r="U25" s="187">
        <v>46152</v>
      </c>
      <c r="V25" s="187">
        <v>46153</v>
      </c>
      <c r="W25" s="187">
        <v>46154</v>
      </c>
      <c r="X25" s="187">
        <v>46155</v>
      </c>
      <c r="Y25" s="187">
        <v>46156</v>
      </c>
      <c r="Z25" s="187">
        <v>46157</v>
      </c>
      <c r="AA25" s="187">
        <v>46158</v>
      </c>
      <c r="AB25" s="187">
        <v>46159</v>
      </c>
      <c r="AC25" s="187">
        <v>46160</v>
      </c>
      <c r="AD25" s="187">
        <v>46161</v>
      </c>
      <c r="AE25" s="187">
        <v>46162</v>
      </c>
      <c r="AF25" s="187">
        <v>46163</v>
      </c>
      <c r="AG25" s="187">
        <v>46164</v>
      </c>
      <c r="AH25" s="187">
        <v>46165</v>
      </c>
      <c r="AI25" s="187">
        <v>46166</v>
      </c>
      <c r="AJ25" s="187">
        <v>46167</v>
      </c>
      <c r="AK25" s="187">
        <v>46168</v>
      </c>
      <c r="AL25" s="187">
        <v>46169</v>
      </c>
      <c r="AM25" s="187">
        <v>46170</v>
      </c>
      <c r="AN25" s="187">
        <v>46171</v>
      </c>
      <c r="AO25" s="187">
        <v>46172</v>
      </c>
      <c r="AP25" s="187">
        <v>46173</v>
      </c>
      <c r="AQ25" s="187">
        <v>46174</v>
      </c>
      <c r="AR25" s="187">
        <v>46175</v>
      </c>
      <c r="AS25" s="187">
        <v>46176</v>
      </c>
      <c r="AT25" s="187">
        <v>46177</v>
      </c>
      <c r="AU25" s="187">
        <v>46178</v>
      </c>
      <c r="AV25" s="187">
        <v>46179</v>
      </c>
      <c r="AW25" s="187">
        <v>46180</v>
      </c>
      <c r="AX25" s="187">
        <v>46181</v>
      </c>
      <c r="AY25" s="187">
        <v>46182</v>
      </c>
      <c r="AZ25" s="187">
        <v>46183</v>
      </c>
      <c r="BA25" s="187">
        <v>46184</v>
      </c>
      <c r="BB25" s="187">
        <v>46185</v>
      </c>
      <c r="BC25" s="187">
        <v>46186</v>
      </c>
      <c r="BD25" s="187">
        <v>46187</v>
      </c>
      <c r="BE25" s="187">
        <v>46188</v>
      </c>
      <c r="BF25" s="187">
        <v>46189</v>
      </c>
      <c r="BG25" s="187">
        <v>46190</v>
      </c>
      <c r="BH25" s="187">
        <v>46191</v>
      </c>
      <c r="BI25" s="187">
        <v>46192</v>
      </c>
      <c r="BJ25" s="187">
        <v>46193</v>
      </c>
      <c r="BK25" s="187">
        <v>46194</v>
      </c>
      <c r="BL25" s="187">
        <v>46195</v>
      </c>
      <c r="BM25" s="187">
        <v>46196</v>
      </c>
      <c r="BN25" s="187">
        <v>46197</v>
      </c>
      <c r="BO25" s="187">
        <v>46198</v>
      </c>
      <c r="BP25" s="187">
        <v>46199</v>
      </c>
    </row>
    <row r="26" spans="1:68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68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6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spans="1:68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68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spans="1:68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68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</sheetData>
  <mergeCells count="1">
    <mergeCell ref="E1:F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F512-D31D-6142-9AC7-1099475E8E95}">
  <sheetPr codeName="Hoja3">
    <pageSetUpPr fitToPage="1"/>
  </sheetPr>
  <dimension ref="A1:Q148"/>
  <sheetViews>
    <sheetView zoomScaleNormal="150" workbookViewId="0">
      <pane xSplit="2" ySplit="2" topLeftCell="C62" activePane="bottomRight" state="frozen"/>
      <selection activeCell="D33" sqref="D33"/>
      <selection pane="topRight" activeCell="D33" sqref="D33"/>
      <selection pane="bottomLeft" activeCell="D33" sqref="D33"/>
      <selection pane="bottomRight" activeCell="D1" sqref="D1:Q1048576"/>
    </sheetView>
  </sheetViews>
  <sheetFormatPr baseColWidth="10" defaultRowHeight="16"/>
  <cols>
    <col min="1" max="1" width="6.6640625" bestFit="1" customWidth="1"/>
    <col min="2" max="2" width="33.83203125" customWidth="1"/>
    <col min="3" max="3" width="15" style="50" customWidth="1"/>
    <col min="4" max="5" width="7.33203125" customWidth="1"/>
    <col min="6" max="6" width="5" customWidth="1"/>
    <col min="7" max="7" width="7.5" customWidth="1"/>
    <col min="8" max="8" width="6" customWidth="1"/>
    <col min="9" max="9" width="5.83203125" customWidth="1"/>
    <col min="10" max="10" width="4.83203125" customWidth="1"/>
    <col min="11" max="11" width="5.5" customWidth="1"/>
    <col min="12" max="12" width="4.1640625" customWidth="1"/>
    <col min="13" max="13" width="7.6640625" customWidth="1"/>
    <col min="14" max="14" width="7" customWidth="1"/>
    <col min="15" max="15" width="6.5" customWidth="1"/>
    <col min="16" max="16" width="6.6640625" customWidth="1"/>
    <col min="17" max="17" width="23.5" customWidth="1"/>
  </cols>
  <sheetData>
    <row r="1" spans="1:17">
      <c r="B1" s="36">
        <f>COUNTA(#REF!)</f>
        <v>1</v>
      </c>
      <c r="C1" s="50" t="s">
        <v>175</v>
      </c>
    </row>
    <row r="2" spans="1:17" s="12" customFormat="1" ht="32">
      <c r="A2" s="51" t="s">
        <v>176</v>
      </c>
      <c r="B2" s="51" t="s">
        <v>177</v>
      </c>
      <c r="C2" s="123" t="s">
        <v>178</v>
      </c>
      <c r="Q2" s="102"/>
    </row>
    <row r="3" spans="1:17">
      <c r="A3" t="s">
        <v>82</v>
      </c>
      <c r="B3" t="s">
        <v>83</v>
      </c>
      <c r="C3" s="122">
        <v>1190000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91"/>
    </row>
    <row r="4" spans="1:17">
      <c r="A4" t="s">
        <v>135</v>
      </c>
      <c r="B4" t="s">
        <v>120</v>
      </c>
      <c r="C4" s="122">
        <v>3990000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91"/>
    </row>
    <row r="5" spans="1:17">
      <c r="A5" t="s">
        <v>60</v>
      </c>
      <c r="B5" t="s">
        <v>61</v>
      </c>
      <c r="C5" s="122">
        <v>1990000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91"/>
    </row>
    <row r="6" spans="1:17">
      <c r="A6" t="s">
        <v>100</v>
      </c>
      <c r="B6" t="s">
        <v>101</v>
      </c>
      <c r="C6" s="122">
        <v>4000000</v>
      </c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91"/>
    </row>
    <row r="7" spans="1:17">
      <c r="A7" t="s">
        <v>104</v>
      </c>
      <c r="B7" t="s">
        <v>105</v>
      </c>
      <c r="C7" s="122">
        <v>1490000</v>
      </c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91"/>
    </row>
    <row r="8" spans="1:17">
      <c r="A8" t="s">
        <v>63</v>
      </c>
      <c r="B8" t="s">
        <v>64</v>
      </c>
      <c r="C8" s="122">
        <v>5600000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91"/>
    </row>
    <row r="9" spans="1:17">
      <c r="A9" t="s">
        <v>117</v>
      </c>
      <c r="B9" t="s">
        <v>118</v>
      </c>
      <c r="C9" s="122">
        <v>3990000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91"/>
    </row>
    <row r="10" spans="1:17">
      <c r="A10" t="s">
        <v>88</v>
      </c>
      <c r="B10" t="s">
        <v>89</v>
      </c>
      <c r="C10" s="122">
        <v>3600000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91"/>
    </row>
    <row r="11" spans="1:17">
      <c r="A11" t="s">
        <v>96</v>
      </c>
      <c r="B11" t="s">
        <v>97</v>
      </c>
      <c r="C11" s="122">
        <v>4450000</v>
      </c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91"/>
    </row>
    <row r="12" spans="1:17">
      <c r="A12" t="s">
        <v>74</v>
      </c>
      <c r="B12" t="s">
        <v>75</v>
      </c>
      <c r="C12" s="122">
        <v>650000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91"/>
    </row>
    <row r="13" spans="1:17">
      <c r="A13" t="s">
        <v>106</v>
      </c>
      <c r="B13" t="s">
        <v>107</v>
      </c>
      <c r="C13" s="122">
        <v>590000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91"/>
    </row>
    <row r="14" spans="1:17">
      <c r="A14" t="s">
        <v>70</v>
      </c>
      <c r="B14" t="s">
        <v>71</v>
      </c>
      <c r="C14" s="122">
        <v>2100000</v>
      </c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91"/>
    </row>
    <row r="15" spans="1:17">
      <c r="A15" t="s">
        <v>115</v>
      </c>
      <c r="B15" t="s">
        <v>116</v>
      </c>
      <c r="C15" s="122">
        <v>1250000</v>
      </c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91"/>
    </row>
    <row r="16" spans="1:17">
      <c r="A16" t="s">
        <v>90</v>
      </c>
      <c r="B16" t="s">
        <v>91</v>
      </c>
      <c r="C16" s="122">
        <v>3900000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91"/>
    </row>
    <row r="17" spans="1:17">
      <c r="A17" t="s">
        <v>113</v>
      </c>
      <c r="B17" t="s">
        <v>114</v>
      </c>
      <c r="C17" s="122">
        <v>2520000</v>
      </c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91"/>
    </row>
    <row r="18" spans="1:17">
      <c r="A18" t="s">
        <v>125</v>
      </c>
      <c r="B18" t="s">
        <v>126</v>
      </c>
      <c r="C18" s="122">
        <v>3990000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91"/>
    </row>
    <row r="19" spans="1:17">
      <c r="A19" t="s">
        <v>121</v>
      </c>
      <c r="B19" t="s">
        <v>122</v>
      </c>
      <c r="C19" s="122">
        <v>3890000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91"/>
    </row>
    <row r="20" spans="1:17">
      <c r="A20" t="s">
        <v>123</v>
      </c>
      <c r="B20" t="s">
        <v>124</v>
      </c>
      <c r="C20" s="122">
        <v>3890000</v>
      </c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91"/>
    </row>
    <row r="21" spans="1:17">
      <c r="A21" t="s">
        <v>10</v>
      </c>
      <c r="B21" t="s">
        <v>11</v>
      </c>
      <c r="C21" s="122">
        <v>450000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91"/>
    </row>
    <row r="22" spans="1:17">
      <c r="A22" t="s">
        <v>69</v>
      </c>
      <c r="B22" t="s">
        <v>157</v>
      </c>
      <c r="C22" s="122">
        <v>1790000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91"/>
    </row>
    <row r="23" spans="1:17">
      <c r="A23" t="s">
        <v>98</v>
      </c>
      <c r="B23" t="s">
        <v>99</v>
      </c>
      <c r="C23" s="122">
        <v>2190000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91"/>
    </row>
    <row r="24" spans="1:17">
      <c r="A24" t="s">
        <v>76</v>
      </c>
      <c r="B24" t="s">
        <v>77</v>
      </c>
      <c r="C24" s="122">
        <v>2360000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91"/>
    </row>
    <row r="25" spans="1:17">
      <c r="A25" t="s">
        <v>110</v>
      </c>
      <c r="B25" t="s">
        <v>160</v>
      </c>
      <c r="C25" s="122">
        <v>2520000</v>
      </c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91"/>
    </row>
    <row r="26" spans="1:17">
      <c r="A26" t="s">
        <v>78</v>
      </c>
      <c r="B26" t="s">
        <v>79</v>
      </c>
      <c r="C26" s="122">
        <v>1650000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91"/>
    </row>
    <row r="27" spans="1:17">
      <c r="A27" t="s">
        <v>278</v>
      </c>
      <c r="B27" t="s">
        <v>240</v>
      </c>
      <c r="C27" s="122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91"/>
    </row>
    <row r="28" spans="1:17">
      <c r="A28" t="s">
        <v>119</v>
      </c>
      <c r="B28" t="s">
        <v>172</v>
      </c>
      <c r="C28" s="122">
        <v>590000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91"/>
    </row>
    <row r="29" spans="1:17">
      <c r="A29" t="s">
        <v>13</v>
      </c>
      <c r="B29" t="s">
        <v>14</v>
      </c>
      <c r="C29" s="122">
        <v>1790000</v>
      </c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91"/>
    </row>
    <row r="30" spans="1:17">
      <c r="A30" t="s">
        <v>18</v>
      </c>
      <c r="B30" t="s">
        <v>19</v>
      </c>
      <c r="C30" s="122">
        <v>5600000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91"/>
    </row>
    <row r="31" spans="1:17">
      <c r="A31" t="s">
        <v>102</v>
      </c>
      <c r="B31" t="s">
        <v>103</v>
      </c>
      <c r="C31" s="122">
        <v>2490000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91"/>
    </row>
    <row r="32" spans="1:17">
      <c r="A32" t="s">
        <v>65</v>
      </c>
      <c r="B32" t="s">
        <v>66</v>
      </c>
      <c r="C32" s="122">
        <v>2520000</v>
      </c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91"/>
    </row>
    <row r="33" spans="1:17">
      <c r="A33" t="s">
        <v>108</v>
      </c>
      <c r="B33" t="s">
        <v>109</v>
      </c>
      <c r="C33" s="122">
        <v>2520000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91"/>
    </row>
    <row r="34" spans="1:17">
      <c r="A34" t="s">
        <v>137</v>
      </c>
      <c r="B34" t="s">
        <v>167</v>
      </c>
      <c r="C34" s="122">
        <v>1390000</v>
      </c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91"/>
    </row>
    <row r="35" spans="1:17">
      <c r="A35" t="s">
        <v>181</v>
      </c>
      <c r="B35" t="s">
        <v>279</v>
      </c>
      <c r="C35" s="122">
        <v>4055462.1848739497</v>
      </c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91"/>
    </row>
    <row r="36" spans="1:17">
      <c r="A36" t="s">
        <v>94</v>
      </c>
      <c r="B36" t="s">
        <v>95</v>
      </c>
      <c r="C36" s="122">
        <v>3350000</v>
      </c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91"/>
    </row>
    <row r="37" spans="1:17">
      <c r="A37" t="s">
        <v>139</v>
      </c>
      <c r="B37" t="s">
        <v>140</v>
      </c>
      <c r="C37" s="122">
        <v>3990000</v>
      </c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91"/>
    </row>
    <row r="38" spans="1:17">
      <c r="A38" t="s">
        <v>241</v>
      </c>
      <c r="B38" s="48" t="s">
        <v>242</v>
      </c>
      <c r="C38" s="122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91"/>
    </row>
    <row r="39" spans="1:17">
      <c r="A39" t="s">
        <v>111</v>
      </c>
      <c r="B39" t="s">
        <v>112</v>
      </c>
      <c r="C39" s="122">
        <v>2700000</v>
      </c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91"/>
    </row>
    <row r="40" spans="1:17">
      <c r="A40" t="s">
        <v>185</v>
      </c>
      <c r="B40" s="48" t="s">
        <v>233</v>
      </c>
      <c r="C40" s="122">
        <v>4650000</v>
      </c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91"/>
    </row>
    <row r="41" spans="1:17">
      <c r="A41" t="s">
        <v>68</v>
      </c>
      <c r="B41" t="s">
        <v>156</v>
      </c>
      <c r="C41" s="122">
        <v>1090000</v>
      </c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91"/>
    </row>
    <row r="42" spans="1:17">
      <c r="A42" t="s">
        <v>17</v>
      </c>
      <c r="B42" t="s">
        <v>158</v>
      </c>
      <c r="C42" s="122">
        <v>4180000</v>
      </c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91"/>
    </row>
    <row r="43" spans="1:17">
      <c r="A43" t="s">
        <v>80</v>
      </c>
      <c r="B43" t="s">
        <v>81</v>
      </c>
      <c r="C43" s="122">
        <v>2990000</v>
      </c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91"/>
    </row>
    <row r="44" spans="1:17">
      <c r="A44" t="s">
        <v>23</v>
      </c>
      <c r="B44" t="s">
        <v>24</v>
      </c>
      <c r="C44" s="122">
        <v>1750000</v>
      </c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91"/>
    </row>
    <row r="45" spans="1:17">
      <c r="A45" t="s">
        <v>243</v>
      </c>
      <c r="B45" s="48" t="s">
        <v>244</v>
      </c>
      <c r="C45" s="122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91"/>
    </row>
    <row r="46" spans="1:17">
      <c r="A46" t="s">
        <v>173</v>
      </c>
      <c r="B46" t="s">
        <v>174</v>
      </c>
      <c r="C46" s="122">
        <v>9600000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91"/>
    </row>
    <row r="47" spans="1:17">
      <c r="A47" t="s">
        <v>245</v>
      </c>
      <c r="B47" s="48" t="s">
        <v>246</v>
      </c>
      <c r="C47" s="122">
        <v>4016806.7226890759</v>
      </c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91"/>
    </row>
    <row r="48" spans="1:17">
      <c r="A48" t="s">
        <v>227</v>
      </c>
      <c r="B48" t="s">
        <v>272</v>
      </c>
      <c r="C48" s="122">
        <v>2968824</v>
      </c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7"/>
    </row>
    <row r="49" spans="1:17">
      <c r="A49" s="193" t="s">
        <v>295</v>
      </c>
      <c r="B49" s="194" t="s">
        <v>296</v>
      </c>
      <c r="C49" s="122">
        <v>1952017</v>
      </c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7"/>
    </row>
    <row r="50" spans="1:17">
      <c r="A50" s="193" t="s">
        <v>297</v>
      </c>
      <c r="B50" s="194" t="s">
        <v>298</v>
      </c>
      <c r="C50" s="122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7"/>
    </row>
    <row r="51" spans="1:17">
      <c r="A51" s="193" t="s">
        <v>299</v>
      </c>
      <c r="B51" s="194" t="s">
        <v>300</v>
      </c>
      <c r="C51" s="122">
        <v>2484790</v>
      </c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7"/>
    </row>
    <row r="52" spans="1:17">
      <c r="A52" s="193" t="s">
        <v>301</v>
      </c>
      <c r="B52" s="194" t="s">
        <v>302</v>
      </c>
      <c r="C52" s="122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7"/>
    </row>
    <row r="53" spans="1:17">
      <c r="A53" s="193" t="s">
        <v>303</v>
      </c>
      <c r="B53" s="194" t="s">
        <v>304</v>
      </c>
      <c r="C53" s="122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7"/>
    </row>
    <row r="54" spans="1:17">
      <c r="A54" s="193" t="s">
        <v>305</v>
      </c>
      <c r="B54" s="194" t="s">
        <v>306</v>
      </c>
      <c r="C54" s="122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7"/>
    </row>
    <row r="55" spans="1:17">
      <c r="A55" s="193" t="s">
        <v>307</v>
      </c>
      <c r="B55" s="194" t="s">
        <v>308</v>
      </c>
      <c r="C55" s="122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7"/>
    </row>
    <row r="56" spans="1:17">
      <c r="A56" s="193" t="s">
        <v>309</v>
      </c>
      <c r="B56" s="194" t="s">
        <v>310</v>
      </c>
      <c r="C56" s="122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7"/>
    </row>
    <row r="57" spans="1:17">
      <c r="A57" s="193" t="s">
        <v>311</v>
      </c>
      <c r="B57" s="194" t="s">
        <v>312</v>
      </c>
      <c r="C57" s="122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7"/>
    </row>
    <row r="58" spans="1:17">
      <c r="A58" s="193" t="s">
        <v>313</v>
      </c>
      <c r="B58" s="194" t="s">
        <v>314</v>
      </c>
      <c r="C58" s="122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7"/>
    </row>
    <row r="59" spans="1:17">
      <c r="A59" s="193" t="s">
        <v>315</v>
      </c>
      <c r="B59" s="194" t="s">
        <v>316</v>
      </c>
      <c r="C59" s="122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7"/>
    </row>
    <row r="60" spans="1:17">
      <c r="A60" s="193" t="s">
        <v>317</v>
      </c>
      <c r="B60" s="194" t="s">
        <v>318</v>
      </c>
      <c r="C60" s="122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7"/>
    </row>
    <row r="61" spans="1:17">
      <c r="A61" s="193" t="s">
        <v>319</v>
      </c>
      <c r="B61" s="194" t="s">
        <v>320</v>
      </c>
      <c r="C61" s="122"/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7"/>
    </row>
    <row r="62" spans="1:17">
      <c r="A62" s="193" t="s">
        <v>321</v>
      </c>
      <c r="B62" s="194" t="s">
        <v>322</v>
      </c>
      <c r="C62" s="122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7"/>
    </row>
    <row r="63" spans="1:17">
      <c r="A63" s="193" t="s">
        <v>228</v>
      </c>
      <c r="B63" s="194" t="s">
        <v>323</v>
      </c>
      <c r="C63" s="122">
        <v>1672268.90756303</v>
      </c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7"/>
    </row>
    <row r="64" spans="1:17">
      <c r="A64" s="193" t="s">
        <v>324</v>
      </c>
      <c r="B64" s="194" t="s">
        <v>325</v>
      </c>
      <c r="C64" s="122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7"/>
    </row>
    <row r="65" spans="1:17">
      <c r="A65" s="193" t="s">
        <v>224</v>
      </c>
      <c r="B65" s="194" t="s">
        <v>326</v>
      </c>
      <c r="C65" s="122">
        <v>2088991.5966386599</v>
      </c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7"/>
    </row>
    <row r="66" spans="1:17">
      <c r="A66" t="s">
        <v>180</v>
      </c>
      <c r="B66" t="s">
        <v>179</v>
      </c>
      <c r="C66" s="122">
        <v>4000000</v>
      </c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91"/>
    </row>
    <row r="67" spans="1:17">
      <c r="A67" t="s">
        <v>206</v>
      </c>
      <c r="B67" t="s">
        <v>205</v>
      </c>
      <c r="C67" s="122">
        <v>139411.76470588235</v>
      </c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91"/>
    </row>
    <row r="68" spans="1:17">
      <c r="A68" t="s">
        <v>183</v>
      </c>
      <c r="B68" t="s">
        <v>182</v>
      </c>
      <c r="C68" s="122">
        <v>4000000</v>
      </c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91"/>
    </row>
    <row r="69" spans="1:17">
      <c r="A69" t="s">
        <v>220</v>
      </c>
      <c r="B69" t="s">
        <v>221</v>
      </c>
      <c r="C69" s="122">
        <v>2243697.478991597</v>
      </c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91"/>
    </row>
    <row r="70" spans="1:17">
      <c r="A70" t="s">
        <v>186</v>
      </c>
      <c r="B70" t="s">
        <v>136</v>
      </c>
      <c r="C70" s="122">
        <v>252100.84033613445</v>
      </c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91"/>
    </row>
    <row r="71" spans="1:17">
      <c r="A71" t="s">
        <v>228</v>
      </c>
      <c r="B71" t="s">
        <v>219</v>
      </c>
      <c r="C71" s="122">
        <v>1672268.9075630254</v>
      </c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91"/>
    </row>
    <row r="72" spans="1:17">
      <c r="A72" t="s">
        <v>224</v>
      </c>
      <c r="B72" t="s">
        <v>210</v>
      </c>
      <c r="C72" s="122">
        <v>2088991.5966386555</v>
      </c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91"/>
    </row>
    <row r="73" spans="1:17">
      <c r="A73" t="s">
        <v>196</v>
      </c>
      <c r="B73" t="s">
        <v>197</v>
      </c>
      <c r="C73" s="122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91"/>
    </row>
    <row r="74" spans="1:17">
      <c r="A74" t="s">
        <v>218</v>
      </c>
      <c r="B74" t="s">
        <v>202</v>
      </c>
      <c r="C74" s="122">
        <v>4477731.0924369749</v>
      </c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91"/>
    </row>
    <row r="75" spans="1:17">
      <c r="A75" t="s">
        <v>254</v>
      </c>
      <c r="B75" t="s">
        <v>253</v>
      </c>
      <c r="C75" s="122">
        <v>10534453.781512605</v>
      </c>
      <c r="D75" s="2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</row>
    <row r="76" spans="1:17">
      <c r="A76" t="s">
        <v>217</v>
      </c>
      <c r="B76" t="s">
        <v>198</v>
      </c>
      <c r="C76" s="122">
        <v>3445798.3193277312</v>
      </c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91"/>
    </row>
    <row r="77" spans="1:17">
      <c r="A77" t="s">
        <v>214</v>
      </c>
      <c r="B77" t="s">
        <v>209</v>
      </c>
      <c r="C77" s="122">
        <v>3327731.0924369749</v>
      </c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91"/>
    </row>
    <row r="78" spans="1:17">
      <c r="A78" t="s">
        <v>72</v>
      </c>
      <c r="B78" t="s">
        <v>73</v>
      </c>
      <c r="C78" s="122">
        <v>1690000</v>
      </c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91"/>
    </row>
    <row r="79" spans="1:17">
      <c r="A79" t="s">
        <v>225</v>
      </c>
      <c r="B79" t="s">
        <v>211</v>
      </c>
      <c r="C79" s="122">
        <v>2354537.8151260507</v>
      </c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91"/>
    </row>
    <row r="80" spans="1:17">
      <c r="A80" t="s">
        <v>226</v>
      </c>
      <c r="B80" t="s">
        <v>212</v>
      </c>
      <c r="C80" s="122">
        <v>2412521.0084033613</v>
      </c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91"/>
    </row>
    <row r="81" spans="1:17">
      <c r="A81" t="s">
        <v>67</v>
      </c>
      <c r="B81" t="s">
        <v>159</v>
      </c>
      <c r="C81" s="122">
        <v>1900000</v>
      </c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91"/>
    </row>
    <row r="82" spans="1:17">
      <c r="A82" t="s">
        <v>250</v>
      </c>
      <c r="B82" t="s">
        <v>251</v>
      </c>
      <c r="C82" s="122">
        <f>(16000*18)/0.25</f>
        <v>1152000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91"/>
    </row>
    <row r="83" spans="1:17">
      <c r="A83" t="s">
        <v>249</v>
      </c>
      <c r="B83" t="s">
        <v>248</v>
      </c>
      <c r="C83" s="122">
        <f>(16000*9)/0.25</f>
        <v>576000</v>
      </c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91"/>
    </row>
    <row r="84" spans="1:17">
      <c r="A84" t="s">
        <v>20</v>
      </c>
      <c r="B84" t="s">
        <v>191</v>
      </c>
      <c r="C84" s="122">
        <v>1700000</v>
      </c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91"/>
    </row>
    <row r="85" spans="1:17">
      <c r="A85" t="s">
        <v>86</v>
      </c>
      <c r="B85" t="s">
        <v>87</v>
      </c>
      <c r="C85" s="122">
        <v>2520000</v>
      </c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91"/>
    </row>
    <row r="86" spans="1:17">
      <c r="A86" t="s">
        <v>85</v>
      </c>
      <c r="B86" t="s">
        <v>161</v>
      </c>
      <c r="C86" s="122">
        <v>690000</v>
      </c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91"/>
    </row>
    <row r="87" spans="1:17">
      <c r="A87" t="s">
        <v>21</v>
      </c>
      <c r="B87" t="s">
        <v>22</v>
      </c>
      <c r="C87" s="122">
        <v>1390000</v>
      </c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91"/>
    </row>
    <row r="88" spans="1:17">
      <c r="A88" t="s">
        <v>15</v>
      </c>
      <c r="B88" t="s">
        <v>16</v>
      </c>
      <c r="C88" s="122">
        <v>1390000</v>
      </c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91"/>
    </row>
    <row r="89" spans="1:17">
      <c r="A89" t="s">
        <v>223</v>
      </c>
      <c r="B89" t="s">
        <v>222</v>
      </c>
      <c r="C89" s="122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91"/>
    </row>
    <row r="90" spans="1:17">
      <c r="A90" t="s">
        <v>154</v>
      </c>
      <c r="B90" t="s">
        <v>155</v>
      </c>
      <c r="C90" s="122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91"/>
    </row>
    <row r="91" spans="1:17">
      <c r="A91" t="s">
        <v>62</v>
      </c>
      <c r="B91" s="48" t="s">
        <v>162</v>
      </c>
      <c r="C91" s="122">
        <v>2880000</v>
      </c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91"/>
    </row>
    <row r="92" spans="1:17">
      <c r="A92" t="s">
        <v>163</v>
      </c>
      <c r="B92" t="s">
        <v>164</v>
      </c>
      <c r="C92" s="122">
        <v>15000000</v>
      </c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91"/>
    </row>
    <row r="93" spans="1:17">
      <c r="A93" t="s">
        <v>165</v>
      </c>
      <c r="B93" t="s">
        <v>166</v>
      </c>
      <c r="C93" s="122">
        <v>32000000</v>
      </c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91"/>
    </row>
    <row r="94" spans="1:17">
      <c r="A94" t="s">
        <v>238</v>
      </c>
      <c r="B94" t="s">
        <v>239</v>
      </c>
      <c r="C94" s="122">
        <v>10863865.546218488</v>
      </c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91"/>
    </row>
    <row r="95" spans="1:17">
      <c r="A95" t="s">
        <v>208</v>
      </c>
      <c r="B95" t="s">
        <v>207</v>
      </c>
      <c r="C95" s="122">
        <v>168067.22689075631</v>
      </c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91"/>
    </row>
    <row r="96" spans="1:17">
      <c r="A96" t="s">
        <v>237</v>
      </c>
      <c r="B96" t="s">
        <v>236</v>
      </c>
      <c r="C96" s="122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91"/>
    </row>
    <row r="97" spans="1:17">
      <c r="A97" t="s">
        <v>194</v>
      </c>
      <c r="B97" t="s">
        <v>195</v>
      </c>
      <c r="C97" s="122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91"/>
    </row>
    <row r="98" spans="1:17">
      <c r="A98" t="s">
        <v>92</v>
      </c>
      <c r="B98" t="s">
        <v>93</v>
      </c>
      <c r="C98" s="122">
        <v>600000</v>
      </c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91"/>
    </row>
    <row r="99" spans="1:17">
      <c r="A99" t="s">
        <v>203</v>
      </c>
      <c r="B99" t="s">
        <v>169</v>
      </c>
      <c r="C99" s="122">
        <v>600000</v>
      </c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91"/>
    </row>
    <row r="100" spans="1:17">
      <c r="A100" t="s">
        <v>204</v>
      </c>
      <c r="B100" t="s">
        <v>168</v>
      </c>
      <c r="C100" s="122">
        <v>700000</v>
      </c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91"/>
    </row>
    <row r="101" spans="1:17">
      <c r="A101" t="s">
        <v>138</v>
      </c>
      <c r="B101" t="s">
        <v>170</v>
      </c>
      <c r="C101" s="122">
        <v>490000</v>
      </c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91"/>
    </row>
    <row r="102" spans="1:17">
      <c r="A102" t="s">
        <v>84</v>
      </c>
      <c r="B102" t="s">
        <v>171</v>
      </c>
      <c r="C102" s="122">
        <v>3990000</v>
      </c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91"/>
    </row>
    <row r="103" spans="1:17">
      <c r="A103" t="s">
        <v>184</v>
      </c>
      <c r="B103" t="s">
        <v>281</v>
      </c>
      <c r="C103" s="122">
        <v>10020168.06722689</v>
      </c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91"/>
    </row>
    <row r="104" spans="1:17">
      <c r="A104" t="s">
        <v>193</v>
      </c>
      <c r="B104" t="s">
        <v>280</v>
      </c>
      <c r="C104" s="124">
        <v>2519000</v>
      </c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91"/>
    </row>
    <row r="105" spans="1:17">
      <c r="A105" t="s">
        <v>215</v>
      </c>
      <c r="B105" t="s">
        <v>216</v>
      </c>
      <c r="C105" s="122">
        <v>3306722.6890756306</v>
      </c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91"/>
    </row>
    <row r="106" spans="1:17">
      <c r="A106" s="193" t="s">
        <v>327</v>
      </c>
      <c r="B106" s="194" t="s">
        <v>328</v>
      </c>
      <c r="C106" s="122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</row>
    <row r="107" spans="1:17">
      <c r="A107" s="193" t="s">
        <v>329</v>
      </c>
      <c r="B107" s="194" t="s">
        <v>330</v>
      </c>
      <c r="C107" s="122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</row>
    <row r="108" spans="1:17">
      <c r="A108" s="193" t="s">
        <v>331</v>
      </c>
      <c r="B108" s="194" t="s">
        <v>332</v>
      </c>
      <c r="C108" s="122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</row>
    <row r="109" spans="1:17">
      <c r="A109" s="193" t="s">
        <v>333</v>
      </c>
      <c r="B109" s="194" t="s">
        <v>428</v>
      </c>
      <c r="C109" s="122">
        <v>1841092</v>
      </c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</row>
    <row r="110" spans="1:17">
      <c r="A110" s="193" t="s">
        <v>334</v>
      </c>
      <c r="B110" s="194" t="s">
        <v>335</v>
      </c>
      <c r="C110" s="122">
        <v>3000000</v>
      </c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</row>
    <row r="111" spans="1:17">
      <c r="A111" s="193" t="s">
        <v>336</v>
      </c>
      <c r="B111" s="194" t="s">
        <v>337</v>
      </c>
      <c r="C111" s="122">
        <v>2311681</v>
      </c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</row>
    <row r="112" spans="1:17">
      <c r="A112" s="193" t="s">
        <v>338</v>
      </c>
      <c r="B112" s="194" t="s">
        <v>339</v>
      </c>
      <c r="C112" s="122">
        <v>1841092</v>
      </c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</row>
    <row r="113" spans="1:16">
      <c r="A113" s="193" t="s">
        <v>340</v>
      </c>
      <c r="B113" s="194" t="s">
        <v>339</v>
      </c>
      <c r="C113" s="122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</row>
    <row r="114" spans="1:16">
      <c r="A114" s="193" t="s">
        <v>225</v>
      </c>
      <c r="B114" s="194" t="s">
        <v>341</v>
      </c>
      <c r="C114" s="122">
        <v>2354537.8151260498</v>
      </c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</row>
    <row r="115" spans="1:16">
      <c r="A115" s="193" t="s">
        <v>226</v>
      </c>
      <c r="B115" s="194" t="s">
        <v>91</v>
      </c>
      <c r="C115" s="122">
        <v>2412521.0084033599</v>
      </c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</row>
    <row r="116" spans="1:16">
      <c r="A116" s="193" t="s">
        <v>342</v>
      </c>
      <c r="B116" s="194" t="s">
        <v>343</v>
      </c>
      <c r="C116" s="122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</row>
    <row r="117" spans="1:16">
      <c r="A117" s="193" t="s">
        <v>344</v>
      </c>
      <c r="B117" s="194" t="s">
        <v>345</v>
      </c>
      <c r="C117" s="122">
        <v>3200000</v>
      </c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</row>
    <row r="118" spans="1:16">
      <c r="A118" s="193" t="s">
        <v>346</v>
      </c>
      <c r="B118" s="194" t="s">
        <v>347</v>
      </c>
      <c r="C118" s="122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</row>
    <row r="119" spans="1:16">
      <c r="A119" s="193" t="s">
        <v>348</v>
      </c>
      <c r="B119" s="194" t="s">
        <v>349</v>
      </c>
      <c r="C119" s="122">
        <v>3200000</v>
      </c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</row>
    <row r="120" spans="1:16">
      <c r="A120" s="193" t="s">
        <v>350</v>
      </c>
      <c r="B120" s="194" t="s">
        <v>351</v>
      </c>
      <c r="C120" s="122">
        <v>2191513</v>
      </c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</row>
    <row r="121" spans="1:16">
      <c r="A121" s="193" t="s">
        <v>352</v>
      </c>
      <c r="B121" s="194" t="s">
        <v>353</v>
      </c>
      <c r="C121" s="122">
        <v>2885882</v>
      </c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</row>
    <row r="122" spans="1:16">
      <c r="A122" s="193" t="s">
        <v>354</v>
      </c>
      <c r="B122" s="194" t="s">
        <v>355</v>
      </c>
      <c r="C122" s="122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</row>
    <row r="123" spans="1:16">
      <c r="A123" s="193" t="s">
        <v>356</v>
      </c>
      <c r="B123" s="194" t="s">
        <v>271</v>
      </c>
      <c r="C123" s="122">
        <v>2968824</v>
      </c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</row>
    <row r="124" spans="1:16">
      <c r="A124" s="193" t="s">
        <v>357</v>
      </c>
      <c r="B124" s="194" t="s">
        <v>358</v>
      </c>
      <c r="C124" s="122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</row>
    <row r="125" spans="1:16">
      <c r="A125" s="193" t="s">
        <v>359</v>
      </c>
      <c r="B125" s="194" t="s">
        <v>360</v>
      </c>
      <c r="C125" s="122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</row>
    <row r="126" spans="1:16">
      <c r="A126" s="193" t="s">
        <v>361</v>
      </c>
      <c r="B126" s="194" t="s">
        <v>362</v>
      </c>
      <c r="C126" s="122">
        <v>3151260.50420168</v>
      </c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</row>
    <row r="127" spans="1:16">
      <c r="A127" s="193" t="s">
        <v>363</v>
      </c>
      <c r="B127" s="194" t="s">
        <v>364</v>
      </c>
      <c r="C127" s="122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</row>
    <row r="128" spans="1:16">
      <c r="A128" s="193" t="s">
        <v>365</v>
      </c>
      <c r="B128" s="194" t="s">
        <v>366</v>
      </c>
      <c r="C128" s="122">
        <v>3163386</v>
      </c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</row>
    <row r="129" spans="1:16">
      <c r="A129" s="193" t="s">
        <v>367</v>
      </c>
      <c r="B129" s="194" t="s">
        <v>368</v>
      </c>
      <c r="C129" s="122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</row>
    <row r="130" spans="1:16">
      <c r="A130" s="193" t="s">
        <v>369</v>
      </c>
      <c r="B130" s="194" t="s">
        <v>266</v>
      </c>
      <c r="C130" s="122">
        <v>3151260.50420168</v>
      </c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</row>
    <row r="131" spans="1:16">
      <c r="A131" s="193" t="s">
        <v>370</v>
      </c>
      <c r="B131" s="194" t="s">
        <v>371</v>
      </c>
      <c r="C131" s="122">
        <v>2004958</v>
      </c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</row>
    <row r="132" spans="1:16">
      <c r="A132" s="193" t="s">
        <v>372</v>
      </c>
      <c r="B132" s="194" t="s">
        <v>373</v>
      </c>
      <c r="C132" s="122">
        <v>2274706</v>
      </c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</row>
    <row r="133" spans="1:16">
      <c r="A133" s="193" t="s">
        <v>374</v>
      </c>
      <c r="B133" s="194" t="s">
        <v>375</v>
      </c>
      <c r="C133" s="122">
        <v>2241933</v>
      </c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</row>
    <row r="134" spans="1:16">
      <c r="A134" s="193" t="s">
        <v>376</v>
      </c>
      <c r="B134" s="194" t="s">
        <v>377</v>
      </c>
      <c r="C134" s="122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</row>
    <row r="135" spans="1:16">
      <c r="A135" s="193" t="s">
        <v>378</v>
      </c>
      <c r="B135" s="194" t="s">
        <v>379</v>
      </c>
      <c r="C135" s="122">
        <v>1867143</v>
      </c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</row>
    <row r="136" spans="1:16">
      <c r="A136" s="193" t="s">
        <v>380</v>
      </c>
      <c r="B136" s="194" t="s">
        <v>381</v>
      </c>
      <c r="C136" s="122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</row>
    <row r="137" spans="1:16">
      <c r="A137" s="193" t="s">
        <v>382</v>
      </c>
      <c r="B137" s="194" t="s">
        <v>282</v>
      </c>
      <c r="C137" s="122">
        <v>3151260.50420168</v>
      </c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</row>
    <row r="138" spans="1:16">
      <c r="A138" s="193" t="s">
        <v>383</v>
      </c>
      <c r="B138" s="194" t="s">
        <v>384</v>
      </c>
      <c r="C138" s="122">
        <v>3344538</v>
      </c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</row>
    <row r="139" spans="1:16">
      <c r="A139" s="193" t="s">
        <v>385</v>
      </c>
      <c r="B139" s="194" t="s">
        <v>386</v>
      </c>
      <c r="C139" s="122">
        <v>6705882</v>
      </c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</row>
    <row r="140" spans="1:16">
      <c r="A140" s="193" t="s">
        <v>387</v>
      </c>
      <c r="B140" s="194" t="s">
        <v>388</v>
      </c>
      <c r="C140" s="122">
        <v>10907563</v>
      </c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</row>
    <row r="141" spans="1:16">
      <c r="A141" s="193" t="s">
        <v>389</v>
      </c>
      <c r="B141" s="194" t="s">
        <v>390</v>
      </c>
      <c r="C141" s="122">
        <v>3344538</v>
      </c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</row>
    <row r="142" spans="1:16">
      <c r="A142" s="193" t="s">
        <v>391</v>
      </c>
      <c r="B142" s="194" t="s">
        <v>379</v>
      </c>
      <c r="C142" s="122">
        <v>1411765</v>
      </c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</row>
    <row r="143" spans="1:16">
      <c r="A143" s="193" t="s">
        <v>398</v>
      </c>
      <c r="B143" s="194" t="s">
        <v>399</v>
      </c>
      <c r="C143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</row>
    <row r="144" spans="1:16">
      <c r="A144" s="193" t="s">
        <v>397</v>
      </c>
      <c r="B144" s="194" t="s">
        <v>400</v>
      </c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</row>
    <row r="145" spans="1:16">
      <c r="A145" s="193" t="s">
        <v>420</v>
      </c>
      <c r="B145" s="194" t="s">
        <v>422</v>
      </c>
      <c r="C145" s="206">
        <v>237731</v>
      </c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</row>
    <row r="146" spans="1:16">
      <c r="A146" s="193" t="s">
        <v>456</v>
      </c>
      <c r="B146" s="194" t="s">
        <v>457</v>
      </c>
      <c r="C146" s="50">
        <f>7854000/1.19</f>
        <v>6600000</v>
      </c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</row>
    <row r="147" spans="1:16">
      <c r="A147" s="193" t="s">
        <v>466</v>
      </c>
      <c r="B147" s="194" t="s">
        <v>485</v>
      </c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</row>
    <row r="148" spans="1:16">
      <c r="A148" s="193" t="s">
        <v>521</v>
      </c>
      <c r="B148" s="194" t="s">
        <v>522</v>
      </c>
      <c r="C148" s="50">
        <v>2680000</v>
      </c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</row>
  </sheetData>
  <autoFilter ref="A2:Q147" xr:uid="{3131F512-D31D-6142-9AC7-1099475E8E95}">
    <sortState xmlns:xlrd2="http://schemas.microsoft.com/office/spreadsheetml/2017/richdata2" ref="A3:Q145">
      <sortCondition ref="Q2:Q145"/>
    </sortState>
  </autoFilter>
  <pageMargins left="0.7" right="0.7" top="0.75" bottom="0.75" header="0.3" footer="0.3"/>
  <pageSetup scale="57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B44E-6675-E14A-96DB-263E8234D35D}">
  <dimension ref="A3:AR74"/>
  <sheetViews>
    <sheetView tabSelected="1" topLeftCell="Z57" workbookViewId="0">
      <selection activeCell="AJ74" sqref="AJ74"/>
    </sheetView>
  </sheetViews>
  <sheetFormatPr baseColWidth="10" defaultRowHeight="16" outlineLevelCol="1"/>
  <cols>
    <col min="1" max="15" width="3.33203125" customWidth="1" outlineLevel="1"/>
    <col min="20" max="20" width="32.33203125" bestFit="1" customWidth="1"/>
    <col min="25" max="25" width="13.5" bestFit="1" customWidth="1"/>
    <col min="26" max="33" width="10.83203125" customWidth="1" outlineLevel="1"/>
    <col min="36" max="44" width="10.83203125" customWidth="1" outlineLevel="1"/>
  </cols>
  <sheetData>
    <row r="3" spans="1:42">
      <c r="A3" s="179"/>
      <c r="B3" s="179"/>
      <c r="C3" s="179"/>
      <c r="D3" s="179"/>
      <c r="E3" s="179"/>
      <c r="F3" s="121"/>
      <c r="G3" s="121"/>
      <c r="H3" s="121"/>
      <c r="I3" s="121"/>
      <c r="J3" s="121"/>
      <c r="K3" s="121"/>
      <c r="L3" s="121"/>
      <c r="M3" s="121"/>
      <c r="N3" s="197">
        <v>1</v>
      </c>
      <c r="O3" s="109"/>
      <c r="P3" s="134"/>
      <c r="Q3" s="135">
        <v>5</v>
      </c>
      <c r="R3" s="136" t="s">
        <v>256</v>
      </c>
      <c r="S3" s="137" t="s">
        <v>104</v>
      </c>
      <c r="T3" s="137" t="s">
        <v>105</v>
      </c>
      <c r="U3" s="137" t="s">
        <v>257</v>
      </c>
      <c r="V3" s="137" t="s">
        <v>213</v>
      </c>
      <c r="W3" s="137" t="s">
        <v>12</v>
      </c>
      <c r="X3" s="137"/>
      <c r="Y3" s="149">
        <v>1490000</v>
      </c>
      <c r="Z3" s="191">
        <v>1490000</v>
      </c>
      <c r="AA3" s="67">
        <v>20.300119799880264</v>
      </c>
      <c r="AB3" s="90">
        <v>0</v>
      </c>
      <c r="AC3" s="119">
        <v>0</v>
      </c>
      <c r="AD3" s="68">
        <v>0</v>
      </c>
      <c r="AE3" s="161" t="s">
        <v>426</v>
      </c>
      <c r="AF3" s="126" t="s">
        <v>402</v>
      </c>
      <c r="AG3" s="114"/>
      <c r="AH3" s="151" t="s">
        <v>442</v>
      </c>
      <c r="AI3" s="151" t="s">
        <v>442</v>
      </c>
      <c r="AJ3" s="151" t="s">
        <v>442</v>
      </c>
      <c r="AK3" s="151" t="s">
        <v>442</v>
      </c>
      <c r="AL3" s="151" t="s">
        <v>442</v>
      </c>
      <c r="AM3" s="151" t="s">
        <v>442</v>
      </c>
      <c r="AN3" s="151" t="s">
        <v>442</v>
      </c>
      <c r="AO3" s="192">
        <v>0</v>
      </c>
      <c r="AP3" s="103"/>
    </row>
    <row r="4" spans="1:42" ht="17" thickBot="1">
      <c r="A4" s="210"/>
      <c r="B4" s="211"/>
      <c r="C4" s="210"/>
      <c r="D4" s="210"/>
      <c r="E4" s="210"/>
      <c r="F4" s="138"/>
      <c r="G4" s="138"/>
      <c r="H4" s="138"/>
      <c r="I4" s="138"/>
      <c r="J4" s="138"/>
      <c r="K4" s="138"/>
      <c r="L4" s="138"/>
      <c r="M4" s="138"/>
      <c r="N4" s="198">
        <v>1</v>
      </c>
      <c r="O4" s="168"/>
      <c r="P4" s="162"/>
      <c r="Q4" s="163">
        <v>923</v>
      </c>
      <c r="R4" s="164" t="s">
        <v>256</v>
      </c>
      <c r="S4" s="165" t="s">
        <v>84</v>
      </c>
      <c r="T4" s="165" t="s">
        <v>171</v>
      </c>
      <c r="U4" s="165" t="s">
        <v>257</v>
      </c>
      <c r="V4" s="165" t="s">
        <v>213</v>
      </c>
      <c r="W4" s="165" t="s">
        <v>12</v>
      </c>
      <c r="X4" s="165"/>
      <c r="Y4" s="166">
        <v>3990000</v>
      </c>
      <c r="Z4" s="191">
        <v>3990000</v>
      </c>
      <c r="AA4" s="116">
        <v>54.360723490954527</v>
      </c>
      <c r="AB4" s="117">
        <v>0</v>
      </c>
      <c r="AC4" s="120">
        <v>0</v>
      </c>
      <c r="AD4" s="142">
        <v>0</v>
      </c>
      <c r="AE4" s="167" t="s">
        <v>234</v>
      </c>
      <c r="AF4" s="127" t="s">
        <v>403</v>
      </c>
      <c r="AG4" s="114"/>
      <c r="AH4" s="159" t="s">
        <v>442</v>
      </c>
      <c r="AI4" s="159" t="s">
        <v>442</v>
      </c>
      <c r="AJ4" s="159" t="s">
        <v>442</v>
      </c>
      <c r="AK4" s="159" t="s">
        <v>442</v>
      </c>
      <c r="AL4" s="159" t="s">
        <v>442</v>
      </c>
      <c r="AM4" s="159" t="s">
        <v>442</v>
      </c>
      <c r="AN4" s="159" t="s">
        <v>442</v>
      </c>
      <c r="AO4" s="192">
        <v>0</v>
      </c>
      <c r="AP4" s="160"/>
    </row>
    <row r="5" spans="1:42" ht="17" thickBot="1">
      <c r="A5" s="212"/>
      <c r="B5" s="212"/>
      <c r="C5" s="212"/>
      <c r="D5" s="212"/>
      <c r="E5" s="212"/>
      <c r="F5" s="143"/>
      <c r="G5" s="143"/>
      <c r="H5" s="143"/>
      <c r="I5" s="143"/>
      <c r="J5" s="143"/>
      <c r="K5" s="143"/>
      <c r="L5" s="143"/>
      <c r="M5" s="143"/>
      <c r="N5" s="199">
        <v>1</v>
      </c>
      <c r="O5" s="171"/>
      <c r="P5" s="172"/>
      <c r="Q5" s="173">
        <v>925</v>
      </c>
      <c r="R5" s="174" t="s">
        <v>258</v>
      </c>
      <c r="S5" s="175" t="s">
        <v>72</v>
      </c>
      <c r="T5" s="175" t="s">
        <v>73</v>
      </c>
      <c r="U5" s="175" t="s">
        <v>257</v>
      </c>
      <c r="V5" s="175" t="s">
        <v>259</v>
      </c>
      <c r="W5" s="175" t="s">
        <v>12</v>
      </c>
      <c r="X5" s="175"/>
      <c r="Y5" s="176">
        <v>1690000</v>
      </c>
      <c r="Z5" s="191">
        <v>1690000</v>
      </c>
      <c r="AA5" s="144">
        <v>23.024968095166205</v>
      </c>
      <c r="AB5" s="145">
        <v>0</v>
      </c>
      <c r="AC5" s="146">
        <v>0</v>
      </c>
      <c r="AD5" s="142">
        <v>0</v>
      </c>
      <c r="AE5" s="177" t="s">
        <v>234</v>
      </c>
      <c r="AF5" s="169" t="s">
        <v>403</v>
      </c>
      <c r="AG5" s="114"/>
      <c r="AH5" s="170" t="s">
        <v>442</v>
      </c>
      <c r="AI5" s="170" t="s">
        <v>442</v>
      </c>
      <c r="AJ5" s="170" t="s">
        <v>442</v>
      </c>
      <c r="AK5" s="170" t="s">
        <v>442</v>
      </c>
      <c r="AL5" s="170" t="s">
        <v>442</v>
      </c>
      <c r="AM5" s="170" t="s">
        <v>442</v>
      </c>
      <c r="AN5" s="170" t="s">
        <v>442</v>
      </c>
      <c r="AO5" s="192">
        <v>0</v>
      </c>
      <c r="AP5" s="196"/>
    </row>
    <row r="6" spans="1:42">
      <c r="A6" s="179"/>
      <c r="B6" s="179"/>
      <c r="C6" s="179"/>
      <c r="D6" s="179"/>
      <c r="E6" s="179"/>
      <c r="F6" s="121"/>
      <c r="G6" s="121"/>
      <c r="H6" s="121"/>
      <c r="I6" s="121"/>
      <c r="J6" s="121"/>
      <c r="K6" s="121"/>
      <c r="L6" s="121"/>
      <c r="M6" s="121"/>
      <c r="N6" s="66">
        <v>1</v>
      </c>
      <c r="O6" s="130"/>
      <c r="P6" s="128"/>
      <c r="Q6" s="128">
        <v>926</v>
      </c>
      <c r="R6" s="131" t="s">
        <v>263</v>
      </c>
      <c r="S6" s="131" t="s">
        <v>264</v>
      </c>
      <c r="T6" s="131" t="s">
        <v>253</v>
      </c>
      <c r="U6" s="131" t="s">
        <v>268</v>
      </c>
      <c r="V6" s="132" t="s">
        <v>265</v>
      </c>
      <c r="W6" s="131" t="s">
        <v>201</v>
      </c>
      <c r="X6" s="131"/>
      <c r="Y6" s="133">
        <v>11008403</v>
      </c>
      <c r="Z6" s="191">
        <v>10534453.781512605</v>
      </c>
      <c r="AA6" s="67">
        <v>149.98114074185321</v>
      </c>
      <c r="AB6" s="90">
        <v>0</v>
      </c>
      <c r="AC6" s="119">
        <v>0</v>
      </c>
      <c r="AD6" s="68">
        <v>0</v>
      </c>
      <c r="AE6" s="209" t="s">
        <v>424</v>
      </c>
      <c r="AF6" s="126" t="s">
        <v>404</v>
      </c>
      <c r="AG6" s="114"/>
      <c r="AH6" s="151" t="s">
        <v>442</v>
      </c>
      <c r="AI6" s="151" t="s">
        <v>442</v>
      </c>
      <c r="AJ6" s="151" t="s">
        <v>442</v>
      </c>
      <c r="AK6" s="151" t="s">
        <v>442</v>
      </c>
      <c r="AL6" s="151" t="s">
        <v>442</v>
      </c>
      <c r="AM6" s="151" t="s">
        <v>442</v>
      </c>
      <c r="AN6" s="151" t="s">
        <v>442</v>
      </c>
      <c r="AO6" s="192">
        <v>0</v>
      </c>
      <c r="AP6" s="103"/>
    </row>
    <row r="7" spans="1:42">
      <c r="A7" s="179"/>
      <c r="B7" s="179"/>
      <c r="C7" s="179"/>
      <c r="D7" s="179"/>
      <c r="E7" s="179"/>
      <c r="F7" s="121"/>
      <c r="G7" s="121"/>
      <c r="H7" s="121"/>
      <c r="I7" s="121"/>
      <c r="J7" s="121"/>
      <c r="K7" s="121"/>
      <c r="L7" s="121"/>
      <c r="M7" s="121"/>
      <c r="N7" s="66">
        <v>1</v>
      </c>
      <c r="O7" s="130"/>
      <c r="P7" s="128"/>
      <c r="Q7" s="128">
        <v>927</v>
      </c>
      <c r="R7" s="131" t="s">
        <v>263</v>
      </c>
      <c r="S7" s="131" t="s">
        <v>382</v>
      </c>
      <c r="T7" s="131" t="s">
        <v>282</v>
      </c>
      <c r="U7" s="131" t="s">
        <v>268</v>
      </c>
      <c r="V7" s="132" t="s">
        <v>265</v>
      </c>
      <c r="W7" s="131" t="s">
        <v>201</v>
      </c>
      <c r="X7" s="131"/>
      <c r="Y7" s="133">
        <v>3210084.0336134499</v>
      </c>
      <c r="Z7" s="191">
        <v>3151260.50420168</v>
      </c>
      <c r="AA7" s="67">
        <v>43.734960033581132</v>
      </c>
      <c r="AB7" s="90">
        <v>0</v>
      </c>
      <c r="AC7" s="119">
        <v>0</v>
      </c>
      <c r="AD7" s="68">
        <v>0</v>
      </c>
      <c r="AE7" s="214" t="s">
        <v>425</v>
      </c>
      <c r="AF7" s="126" t="s">
        <v>405</v>
      </c>
      <c r="AG7" s="114"/>
      <c r="AH7" s="152" t="s">
        <v>442</v>
      </c>
      <c r="AI7" s="152" t="s">
        <v>442</v>
      </c>
      <c r="AJ7" s="152" t="s">
        <v>442</v>
      </c>
      <c r="AK7" s="152" t="s">
        <v>442</v>
      </c>
      <c r="AL7" s="152" t="s">
        <v>442</v>
      </c>
      <c r="AM7" s="152" t="s">
        <v>442</v>
      </c>
      <c r="AN7" s="152" t="s">
        <v>442</v>
      </c>
      <c r="AO7" s="192">
        <v>0</v>
      </c>
      <c r="AP7" s="103"/>
    </row>
    <row r="8" spans="1:42">
      <c r="A8" s="179"/>
      <c r="B8" s="213"/>
      <c r="C8" s="179"/>
      <c r="D8" s="179"/>
      <c r="E8" s="179"/>
      <c r="F8" s="121"/>
      <c r="G8" s="121"/>
      <c r="H8" s="121"/>
      <c r="I8" s="121"/>
      <c r="J8" s="121"/>
      <c r="K8" s="121"/>
      <c r="L8" s="121"/>
      <c r="M8" s="121"/>
      <c r="N8" s="66">
        <v>1</v>
      </c>
      <c r="O8" s="130"/>
      <c r="P8" s="128"/>
      <c r="Q8" s="128">
        <v>928</v>
      </c>
      <c r="R8" s="131" t="s">
        <v>263</v>
      </c>
      <c r="S8" s="131" t="s">
        <v>369</v>
      </c>
      <c r="T8" s="131" t="s">
        <v>266</v>
      </c>
      <c r="U8" s="131" t="s">
        <v>268</v>
      </c>
      <c r="V8" s="132" t="s">
        <v>265</v>
      </c>
      <c r="W8" s="131" t="s">
        <v>201</v>
      </c>
      <c r="X8" s="131"/>
      <c r="Y8" s="133">
        <v>3210084.0336134499</v>
      </c>
      <c r="Z8" s="191">
        <v>3151260.50420168</v>
      </c>
      <c r="AA8" s="67">
        <v>43.734960033581132</v>
      </c>
      <c r="AB8" s="90">
        <v>0</v>
      </c>
      <c r="AC8" s="119">
        <v>0</v>
      </c>
      <c r="AD8" s="68">
        <v>0</v>
      </c>
      <c r="AE8" s="158" t="s">
        <v>423</v>
      </c>
      <c r="AF8" s="126" t="s">
        <v>405</v>
      </c>
      <c r="AG8" s="114"/>
      <c r="AH8" s="152" t="s">
        <v>442</v>
      </c>
      <c r="AI8" s="152" t="s">
        <v>442</v>
      </c>
      <c r="AJ8" s="152" t="s">
        <v>442</v>
      </c>
      <c r="AK8" s="152" t="s">
        <v>442</v>
      </c>
      <c r="AL8" s="152" t="s">
        <v>442</v>
      </c>
      <c r="AM8" s="152" t="s">
        <v>442</v>
      </c>
      <c r="AN8" s="152" t="s">
        <v>442</v>
      </c>
      <c r="AO8" s="192">
        <v>0</v>
      </c>
      <c r="AP8" s="103"/>
    </row>
    <row r="9" spans="1:42" ht="17" thickBot="1">
      <c r="A9" s="210"/>
      <c r="B9" s="211"/>
      <c r="C9" s="210"/>
      <c r="D9" s="210"/>
      <c r="E9" s="210"/>
      <c r="F9" s="138"/>
      <c r="G9" s="138"/>
      <c r="H9" s="138"/>
      <c r="I9" s="138"/>
      <c r="J9" s="138"/>
      <c r="K9" s="138"/>
      <c r="L9" s="138"/>
      <c r="M9" s="138"/>
      <c r="N9" s="115">
        <v>1</v>
      </c>
      <c r="O9" s="139"/>
      <c r="P9" s="129"/>
      <c r="Q9" s="129">
        <v>929</v>
      </c>
      <c r="R9" s="140" t="s">
        <v>263</v>
      </c>
      <c r="S9" s="131" t="s">
        <v>361</v>
      </c>
      <c r="T9" s="140" t="s">
        <v>362</v>
      </c>
      <c r="U9" s="140" t="s">
        <v>268</v>
      </c>
      <c r="V9" s="141" t="s">
        <v>265</v>
      </c>
      <c r="W9" s="140" t="s">
        <v>201</v>
      </c>
      <c r="X9" s="140"/>
      <c r="Y9" s="150">
        <v>3210084.0336134499</v>
      </c>
      <c r="Z9" s="191">
        <v>3151260.50420168</v>
      </c>
      <c r="AA9" s="116">
        <v>43.734960033581132</v>
      </c>
      <c r="AB9" s="117">
        <v>0</v>
      </c>
      <c r="AC9" s="120">
        <v>0</v>
      </c>
      <c r="AD9" s="68">
        <v>0</v>
      </c>
      <c r="AE9" s="77" t="s">
        <v>423</v>
      </c>
      <c r="AF9" s="127" t="s">
        <v>406</v>
      </c>
      <c r="AG9" s="114"/>
      <c r="AH9" s="152" t="s">
        <v>442</v>
      </c>
      <c r="AI9" s="152" t="s">
        <v>442</v>
      </c>
      <c r="AJ9" s="152" t="s">
        <v>442</v>
      </c>
      <c r="AK9" s="152" t="s">
        <v>442</v>
      </c>
      <c r="AL9" s="152" t="s">
        <v>442</v>
      </c>
      <c r="AM9" s="152" t="s">
        <v>442</v>
      </c>
      <c r="AN9" s="152" t="s">
        <v>442</v>
      </c>
      <c r="AO9" s="192">
        <v>0</v>
      </c>
      <c r="AP9" s="103"/>
    </row>
    <row r="10" spans="1:42">
      <c r="A10" s="179"/>
      <c r="B10" s="179"/>
      <c r="C10" s="179"/>
      <c r="D10" s="179"/>
      <c r="E10" s="179"/>
      <c r="F10" s="121"/>
      <c r="G10" s="121"/>
      <c r="H10" s="121"/>
      <c r="I10" s="121"/>
      <c r="J10" s="121"/>
      <c r="K10" s="121" t="s">
        <v>458</v>
      </c>
      <c r="L10" s="121"/>
      <c r="M10" s="121"/>
      <c r="N10" s="66">
        <v>1</v>
      </c>
      <c r="O10" s="130"/>
      <c r="P10" s="128"/>
      <c r="Q10" s="128">
        <v>930</v>
      </c>
      <c r="R10" s="131" t="s">
        <v>276</v>
      </c>
      <c r="S10" s="131" t="s">
        <v>369</v>
      </c>
      <c r="T10" s="131" t="s">
        <v>270</v>
      </c>
      <c r="U10" s="131" t="s">
        <v>268</v>
      </c>
      <c r="V10" s="132" t="s">
        <v>265</v>
      </c>
      <c r="W10" s="131" t="s">
        <v>201</v>
      </c>
      <c r="X10" s="131"/>
      <c r="Y10" s="133">
        <v>3151260.50420168</v>
      </c>
      <c r="Z10" s="191">
        <v>3151260.50420168</v>
      </c>
      <c r="AA10" s="67">
        <v>42.933534064379316</v>
      </c>
      <c r="AB10" s="90">
        <v>0</v>
      </c>
      <c r="AC10" s="119" t="s">
        <v>459</v>
      </c>
      <c r="AD10" s="68">
        <v>0</v>
      </c>
      <c r="AE10" s="77" t="s">
        <v>423</v>
      </c>
      <c r="AF10" t="s">
        <v>406</v>
      </c>
      <c r="AG10" s="114"/>
      <c r="AH10" s="152" t="s">
        <v>442</v>
      </c>
      <c r="AI10" s="152" t="s">
        <v>442</v>
      </c>
      <c r="AJ10" s="152" t="s">
        <v>442</v>
      </c>
      <c r="AK10" s="152" t="s">
        <v>442</v>
      </c>
      <c r="AL10" s="152" t="s">
        <v>442</v>
      </c>
      <c r="AM10" s="152" t="s">
        <v>442</v>
      </c>
      <c r="AN10" s="152" t="s">
        <v>442</v>
      </c>
      <c r="AO10" s="192">
        <v>0</v>
      </c>
      <c r="AP10" s="103"/>
    </row>
    <row r="11" spans="1:42">
      <c r="A11" s="179"/>
      <c r="B11" s="179"/>
      <c r="C11" s="179"/>
      <c r="D11" s="179"/>
      <c r="E11" s="179"/>
      <c r="F11" s="121"/>
      <c r="G11" s="121"/>
      <c r="H11" s="121"/>
      <c r="I11" s="121"/>
      <c r="J11" s="121"/>
      <c r="K11" s="121" t="s">
        <v>458</v>
      </c>
      <c r="L11" s="121"/>
      <c r="M11" s="121"/>
      <c r="N11" s="66">
        <v>1</v>
      </c>
      <c r="O11" s="130"/>
      <c r="P11" s="128"/>
      <c r="Q11" s="128">
        <v>931</v>
      </c>
      <c r="R11" s="131" t="s">
        <v>276</v>
      </c>
      <c r="S11" s="131" t="s">
        <v>382</v>
      </c>
      <c r="T11" s="131" t="s">
        <v>392</v>
      </c>
      <c r="U11" s="131" t="s">
        <v>268</v>
      </c>
      <c r="V11" s="132" t="s">
        <v>265</v>
      </c>
      <c r="W11" s="131" t="s">
        <v>201</v>
      </c>
      <c r="X11" s="131"/>
      <c r="Y11" s="133">
        <v>3151260.50420168</v>
      </c>
      <c r="Z11" s="191">
        <v>3151260.50420168</v>
      </c>
      <c r="AA11" s="67">
        <v>42.933534064379316</v>
      </c>
      <c r="AB11" s="90">
        <v>0</v>
      </c>
      <c r="AC11" s="119">
        <v>0</v>
      </c>
      <c r="AD11" s="68">
        <v>0</v>
      </c>
      <c r="AE11" s="224" t="s">
        <v>427</v>
      </c>
      <c r="AF11" t="s">
        <v>407</v>
      </c>
      <c r="AG11" s="114"/>
      <c r="AH11" s="152" t="s">
        <v>442</v>
      </c>
      <c r="AI11" s="152" t="s">
        <v>442</v>
      </c>
      <c r="AJ11" s="152" t="s">
        <v>442</v>
      </c>
      <c r="AK11" s="152" t="s">
        <v>442</v>
      </c>
      <c r="AL11" s="152" t="s">
        <v>442</v>
      </c>
      <c r="AM11" s="152" t="s">
        <v>442</v>
      </c>
      <c r="AN11" s="152" t="s">
        <v>442</v>
      </c>
      <c r="AO11" s="192">
        <v>0</v>
      </c>
      <c r="AP11" s="103"/>
    </row>
    <row r="12" spans="1:42">
      <c r="A12" s="179"/>
      <c r="B12" s="179"/>
      <c r="C12" s="179"/>
      <c r="D12" s="179"/>
      <c r="E12" s="179"/>
      <c r="F12" s="121"/>
      <c r="G12" s="121" t="s">
        <v>192</v>
      </c>
      <c r="H12" s="121"/>
      <c r="I12" s="121"/>
      <c r="J12" s="121"/>
      <c r="K12" s="121" t="s">
        <v>192</v>
      </c>
      <c r="L12" s="121"/>
      <c r="M12" s="121"/>
      <c r="N12" s="66">
        <v>1</v>
      </c>
      <c r="O12" s="130"/>
      <c r="P12" s="128"/>
      <c r="Q12" s="128">
        <v>932</v>
      </c>
      <c r="R12" s="131" t="s">
        <v>276</v>
      </c>
      <c r="S12" s="131" t="s">
        <v>356</v>
      </c>
      <c r="T12" s="131" t="s">
        <v>271</v>
      </c>
      <c r="U12" s="131" t="s">
        <v>268</v>
      </c>
      <c r="V12" s="132" t="s">
        <v>265</v>
      </c>
      <c r="W12" s="131" t="s">
        <v>201</v>
      </c>
      <c r="X12" s="131"/>
      <c r="Y12" s="133">
        <v>2968823.5294117602</v>
      </c>
      <c r="Z12" s="191">
        <v>2968824</v>
      </c>
      <c r="AA12" s="67">
        <v>40.44796866561213</v>
      </c>
      <c r="AB12" s="90">
        <v>0</v>
      </c>
      <c r="AC12" s="119">
        <v>0</v>
      </c>
      <c r="AD12" s="68">
        <v>0</v>
      </c>
      <c r="AE12" s="77" t="s">
        <v>423</v>
      </c>
      <c r="AF12" t="s">
        <v>407</v>
      </c>
      <c r="AG12" s="114"/>
      <c r="AH12" s="152" t="s">
        <v>442</v>
      </c>
      <c r="AI12" s="152" t="s">
        <v>442</v>
      </c>
      <c r="AJ12" s="152" t="s">
        <v>442</v>
      </c>
      <c r="AK12" s="152" t="s">
        <v>442</v>
      </c>
      <c r="AL12" s="152" t="s">
        <v>442</v>
      </c>
      <c r="AM12" s="152" t="s">
        <v>442</v>
      </c>
      <c r="AN12" s="152" t="s">
        <v>442</v>
      </c>
      <c r="AO12" s="192">
        <v>0</v>
      </c>
      <c r="AP12" s="103"/>
    </row>
    <row r="13" spans="1:42">
      <c r="A13" s="179"/>
      <c r="B13" s="179"/>
      <c r="C13" s="179"/>
      <c r="D13" s="179"/>
      <c r="E13" s="179"/>
      <c r="F13" s="121"/>
      <c r="G13" s="121" t="s">
        <v>192</v>
      </c>
      <c r="H13" s="121"/>
      <c r="I13" s="121"/>
      <c r="J13" s="121"/>
      <c r="K13" s="121" t="s">
        <v>192</v>
      </c>
      <c r="L13" s="121"/>
      <c r="M13" s="121"/>
      <c r="N13" s="66">
        <v>1</v>
      </c>
      <c r="O13" s="130"/>
      <c r="P13" s="128"/>
      <c r="Q13" s="128">
        <v>933</v>
      </c>
      <c r="R13" s="131" t="s">
        <v>276</v>
      </c>
      <c r="S13" s="131" t="s">
        <v>227</v>
      </c>
      <c r="T13" s="131" t="s">
        <v>272</v>
      </c>
      <c r="U13" s="131" t="s">
        <v>268</v>
      </c>
      <c r="V13" s="132" t="s">
        <v>265</v>
      </c>
      <c r="W13" s="131" t="s">
        <v>201</v>
      </c>
      <c r="X13" s="131"/>
      <c r="Y13" s="133">
        <v>2968823.5294117602</v>
      </c>
      <c r="Z13" s="191">
        <v>2968824</v>
      </c>
      <c r="AA13" s="67">
        <v>40.44796866561213</v>
      </c>
      <c r="AB13" s="90">
        <v>0</v>
      </c>
      <c r="AC13" s="119">
        <v>0</v>
      </c>
      <c r="AD13" s="68">
        <v>0</v>
      </c>
      <c r="AE13" s="77" t="s">
        <v>423</v>
      </c>
      <c r="AF13" t="s">
        <v>408</v>
      </c>
      <c r="AG13" s="114"/>
      <c r="AH13" s="152" t="s">
        <v>442</v>
      </c>
      <c r="AI13" s="152" t="s">
        <v>442</v>
      </c>
      <c r="AJ13" s="152" t="s">
        <v>442</v>
      </c>
      <c r="AK13" s="152" t="s">
        <v>442</v>
      </c>
      <c r="AL13" s="152" t="s">
        <v>442</v>
      </c>
      <c r="AM13" s="152" t="s">
        <v>442</v>
      </c>
      <c r="AN13" s="152" t="s">
        <v>442</v>
      </c>
      <c r="AO13" s="192">
        <v>0</v>
      </c>
      <c r="AP13" s="103"/>
    </row>
    <row r="14" spans="1:42" s="220" customFormat="1" ht="17" thickBot="1">
      <c r="A14" s="210"/>
      <c r="B14" s="210"/>
      <c r="C14" s="210"/>
      <c r="D14" s="210"/>
      <c r="E14" s="210"/>
      <c r="F14" s="138"/>
      <c r="G14" s="138" t="s">
        <v>192</v>
      </c>
      <c r="H14" s="138"/>
      <c r="I14" s="138"/>
      <c r="J14" s="138"/>
      <c r="K14" s="138" t="s">
        <v>192</v>
      </c>
      <c r="L14" s="138"/>
      <c r="M14" s="138"/>
      <c r="N14" s="115">
        <v>1</v>
      </c>
      <c r="O14" s="139"/>
      <c r="P14" s="129"/>
      <c r="Q14" s="129">
        <v>934</v>
      </c>
      <c r="R14" s="140" t="s">
        <v>276</v>
      </c>
      <c r="S14" s="140" t="s">
        <v>352</v>
      </c>
      <c r="T14" s="140" t="s">
        <v>273</v>
      </c>
      <c r="U14" s="140" t="s">
        <v>268</v>
      </c>
      <c r="V14" s="141" t="s">
        <v>265</v>
      </c>
      <c r="W14" s="140" t="s">
        <v>201</v>
      </c>
      <c r="X14" s="140"/>
      <c r="Y14" s="150">
        <v>2885882.3529411801</v>
      </c>
      <c r="Z14" s="221">
        <v>2885882</v>
      </c>
      <c r="AA14" s="116">
        <v>39.317958049037777</v>
      </c>
      <c r="AB14" s="117">
        <v>0</v>
      </c>
      <c r="AC14" s="120">
        <v>0</v>
      </c>
      <c r="AD14" s="68">
        <v>0</v>
      </c>
      <c r="AE14" s="229" t="s">
        <v>234</v>
      </c>
      <c r="AF14" s="220" t="s">
        <v>408</v>
      </c>
      <c r="AG14" s="230"/>
      <c r="AH14" s="159" t="s">
        <v>442</v>
      </c>
      <c r="AI14" s="159" t="s">
        <v>442</v>
      </c>
      <c r="AJ14" s="159" t="s">
        <v>442</v>
      </c>
      <c r="AK14" s="159" t="s">
        <v>442</v>
      </c>
      <c r="AL14" s="159" t="s">
        <v>442</v>
      </c>
      <c r="AM14" s="159" t="s">
        <v>442</v>
      </c>
      <c r="AN14" s="159" t="s">
        <v>442</v>
      </c>
      <c r="AO14" s="231">
        <v>0</v>
      </c>
      <c r="AP14" s="160"/>
    </row>
    <row r="15" spans="1:42">
      <c r="A15" s="179"/>
      <c r="B15" s="179"/>
      <c r="C15" s="179"/>
      <c r="D15" s="179"/>
      <c r="E15" s="179"/>
      <c r="F15" s="121"/>
      <c r="G15" s="121" t="s">
        <v>192</v>
      </c>
      <c r="H15" s="121"/>
      <c r="I15" s="121"/>
      <c r="J15" s="121"/>
      <c r="K15" s="121" t="s">
        <v>192</v>
      </c>
      <c r="L15" s="121"/>
      <c r="M15" s="121"/>
      <c r="N15" s="66">
        <v>1</v>
      </c>
      <c r="O15" s="130"/>
      <c r="P15" s="128"/>
      <c r="Q15" s="128">
        <v>935</v>
      </c>
      <c r="R15" s="131" t="s">
        <v>275</v>
      </c>
      <c r="S15" s="131" t="s">
        <v>369</v>
      </c>
      <c r="T15" s="131" t="s">
        <v>270</v>
      </c>
      <c r="U15" s="131" t="s">
        <v>268</v>
      </c>
      <c r="V15" s="132" t="s">
        <v>265</v>
      </c>
      <c r="W15" s="131" t="s">
        <v>201</v>
      </c>
      <c r="X15" s="131"/>
      <c r="Y15" s="133">
        <v>3163865.5462184902</v>
      </c>
      <c r="Z15" s="191">
        <v>3151260.50420168</v>
      </c>
      <c r="AA15" s="67">
        <v>43.105268200636878</v>
      </c>
      <c r="AB15" s="90">
        <v>0</v>
      </c>
      <c r="AC15" s="119">
        <v>0</v>
      </c>
      <c r="AD15" s="68">
        <v>0</v>
      </c>
      <c r="AE15" s="158" t="s">
        <v>423</v>
      </c>
      <c r="AF15" t="s">
        <v>408</v>
      </c>
      <c r="AG15" s="114"/>
      <c r="AH15" s="151" t="s">
        <v>442</v>
      </c>
      <c r="AI15" s="151" t="s">
        <v>442</v>
      </c>
      <c r="AJ15" s="151" t="s">
        <v>442</v>
      </c>
      <c r="AK15" s="151" t="s">
        <v>442</v>
      </c>
      <c r="AL15" s="151" t="s">
        <v>442</v>
      </c>
      <c r="AM15" s="151" t="s">
        <v>442</v>
      </c>
      <c r="AN15" s="151" t="s">
        <v>442</v>
      </c>
      <c r="AO15" s="192">
        <v>0</v>
      </c>
      <c r="AP15" s="103"/>
    </row>
    <row r="16" spans="1:42">
      <c r="A16" s="179"/>
      <c r="B16" s="179"/>
      <c r="C16" s="179"/>
      <c r="D16" s="179"/>
      <c r="E16" s="179"/>
      <c r="F16" s="121"/>
      <c r="G16" s="121" t="s">
        <v>192</v>
      </c>
      <c r="H16" s="121"/>
      <c r="I16" s="121"/>
      <c r="J16" s="121"/>
      <c r="K16" s="121" t="s">
        <v>192</v>
      </c>
      <c r="L16" s="121"/>
      <c r="M16" s="121"/>
      <c r="N16" s="66">
        <v>1</v>
      </c>
      <c r="O16" s="130"/>
      <c r="P16" s="128"/>
      <c r="Q16" s="128">
        <v>936</v>
      </c>
      <c r="R16" s="131" t="s">
        <v>275</v>
      </c>
      <c r="S16" s="131" t="s">
        <v>227</v>
      </c>
      <c r="T16" s="131" t="s">
        <v>272</v>
      </c>
      <c r="U16" s="131" t="s">
        <v>268</v>
      </c>
      <c r="V16" s="132" t="s">
        <v>265</v>
      </c>
      <c r="W16" s="131" t="s">
        <v>201</v>
      </c>
      <c r="X16" s="131"/>
      <c r="Y16" s="133">
        <v>2968823.5294117602</v>
      </c>
      <c r="Z16" s="191">
        <v>2968824</v>
      </c>
      <c r="AA16" s="67">
        <v>40.44796866561213</v>
      </c>
      <c r="AB16" s="90">
        <v>0</v>
      </c>
      <c r="AC16" s="119">
        <v>0</v>
      </c>
      <c r="AD16" s="68">
        <v>0</v>
      </c>
      <c r="AE16" s="77" t="s">
        <v>423</v>
      </c>
      <c r="AF16" t="s">
        <v>409</v>
      </c>
      <c r="AG16" s="114"/>
      <c r="AH16" s="152" t="s">
        <v>442</v>
      </c>
      <c r="AI16" s="152" t="s">
        <v>442</v>
      </c>
      <c r="AJ16" s="152" t="s">
        <v>442</v>
      </c>
      <c r="AK16" s="152" t="s">
        <v>442</v>
      </c>
      <c r="AL16" s="152" t="s">
        <v>442</v>
      </c>
      <c r="AM16" s="152" t="s">
        <v>442</v>
      </c>
      <c r="AN16" s="152" t="s">
        <v>442</v>
      </c>
      <c r="AO16" s="192">
        <v>0</v>
      </c>
      <c r="AP16" s="103"/>
    </row>
    <row r="17" spans="1:42">
      <c r="A17" s="179"/>
      <c r="B17" s="179"/>
      <c r="C17" s="179"/>
      <c r="D17" s="179"/>
      <c r="E17" s="179"/>
      <c r="F17" s="121"/>
      <c r="G17" s="121" t="s">
        <v>192</v>
      </c>
      <c r="H17" s="121"/>
      <c r="I17" s="121"/>
      <c r="J17" s="121"/>
      <c r="K17" s="121" t="s">
        <v>192</v>
      </c>
      <c r="L17" s="121"/>
      <c r="M17" s="121"/>
      <c r="N17" s="66">
        <v>1</v>
      </c>
      <c r="O17" s="130"/>
      <c r="P17" s="128"/>
      <c r="Q17" s="128">
        <v>937</v>
      </c>
      <c r="R17" s="131" t="s">
        <v>275</v>
      </c>
      <c r="S17" s="131" t="s">
        <v>227</v>
      </c>
      <c r="T17" s="131" t="s">
        <v>272</v>
      </c>
      <c r="U17" s="131" t="s">
        <v>268</v>
      </c>
      <c r="V17" s="132" t="s">
        <v>265</v>
      </c>
      <c r="W17" s="131" t="s">
        <v>201</v>
      </c>
      <c r="X17" s="131"/>
      <c r="Y17" s="133">
        <v>2968823.5294117602</v>
      </c>
      <c r="Z17" s="191">
        <v>2968824</v>
      </c>
      <c r="AA17" s="67">
        <v>40.44796866561213</v>
      </c>
      <c r="AB17" s="90">
        <v>0</v>
      </c>
      <c r="AC17" s="119">
        <v>0</v>
      </c>
      <c r="AD17" s="68">
        <v>0</v>
      </c>
      <c r="AE17" s="77" t="s">
        <v>423</v>
      </c>
      <c r="AF17" t="s">
        <v>409</v>
      </c>
      <c r="AG17" s="114"/>
      <c r="AH17" s="152" t="s">
        <v>442</v>
      </c>
      <c r="AI17" s="152" t="s">
        <v>442</v>
      </c>
      <c r="AJ17" s="152" t="s">
        <v>442</v>
      </c>
      <c r="AK17" s="152" t="s">
        <v>442</v>
      </c>
      <c r="AL17" s="152" t="s">
        <v>442</v>
      </c>
      <c r="AM17" s="152" t="s">
        <v>442</v>
      </c>
      <c r="AN17" s="152" t="s">
        <v>442</v>
      </c>
      <c r="AO17" s="192">
        <v>0</v>
      </c>
      <c r="AP17" s="103"/>
    </row>
    <row r="18" spans="1:42">
      <c r="A18" s="179"/>
      <c r="B18" s="179"/>
      <c r="C18" s="179"/>
      <c r="D18" s="179"/>
      <c r="E18" s="179"/>
      <c r="F18" s="121"/>
      <c r="G18" s="121" t="s">
        <v>192</v>
      </c>
      <c r="H18" s="121"/>
      <c r="I18" s="121"/>
      <c r="J18" s="121"/>
      <c r="K18" s="121" t="s">
        <v>192</v>
      </c>
      <c r="L18" s="121"/>
      <c r="M18" s="121"/>
      <c r="N18" s="66">
        <v>1</v>
      </c>
      <c r="O18" s="130"/>
      <c r="P18" s="128"/>
      <c r="Q18" s="128">
        <v>938</v>
      </c>
      <c r="R18" s="131" t="s">
        <v>275</v>
      </c>
      <c r="S18" s="131" t="s">
        <v>361</v>
      </c>
      <c r="T18" s="131" t="s">
        <v>274</v>
      </c>
      <c r="U18" s="131" t="s">
        <v>268</v>
      </c>
      <c r="V18" s="132" t="s">
        <v>265</v>
      </c>
      <c r="W18" s="131" t="s">
        <v>201</v>
      </c>
      <c r="X18" s="131"/>
      <c r="Y18" s="133">
        <v>3163865.5462184902</v>
      </c>
      <c r="Z18" s="191">
        <v>3151260.50420168</v>
      </c>
      <c r="AA18" s="67">
        <v>43.105268200636878</v>
      </c>
      <c r="AB18" s="90">
        <v>0</v>
      </c>
      <c r="AC18" s="119">
        <v>0</v>
      </c>
      <c r="AD18" s="68">
        <v>0</v>
      </c>
      <c r="AE18" s="77" t="s">
        <v>423</v>
      </c>
      <c r="AF18" t="s">
        <v>410</v>
      </c>
      <c r="AG18" s="114"/>
      <c r="AH18" s="152" t="s">
        <v>442</v>
      </c>
      <c r="AI18" s="152" t="s">
        <v>442</v>
      </c>
      <c r="AJ18" s="152" t="s">
        <v>442</v>
      </c>
      <c r="AK18" s="152" t="s">
        <v>442</v>
      </c>
      <c r="AL18" s="152" t="s">
        <v>442</v>
      </c>
      <c r="AM18" s="152" t="s">
        <v>442</v>
      </c>
      <c r="AN18" s="152" t="s">
        <v>442</v>
      </c>
      <c r="AO18" s="192">
        <v>0</v>
      </c>
      <c r="AP18" s="103"/>
    </row>
    <row r="19" spans="1:42" s="220" customFormat="1" ht="17" thickBot="1">
      <c r="A19" s="210"/>
      <c r="B19" s="210"/>
      <c r="C19" s="210"/>
      <c r="D19" s="210"/>
      <c r="E19" s="210"/>
      <c r="F19" s="138"/>
      <c r="G19" s="138" t="s">
        <v>192</v>
      </c>
      <c r="H19" s="138"/>
      <c r="I19" s="138"/>
      <c r="J19" s="138"/>
      <c r="K19" s="138" t="s">
        <v>192</v>
      </c>
      <c r="L19" s="138"/>
      <c r="M19" s="138"/>
      <c r="N19" s="115">
        <v>1</v>
      </c>
      <c r="O19" s="139"/>
      <c r="P19" s="129"/>
      <c r="Q19" s="129">
        <v>939</v>
      </c>
      <c r="R19" s="140" t="s">
        <v>275</v>
      </c>
      <c r="S19" s="140" t="s">
        <v>382</v>
      </c>
      <c r="T19" s="140" t="s">
        <v>392</v>
      </c>
      <c r="U19" s="140" t="s">
        <v>268</v>
      </c>
      <c r="V19" s="141" t="s">
        <v>265</v>
      </c>
      <c r="W19" s="140" t="s">
        <v>201</v>
      </c>
      <c r="X19" s="140"/>
      <c r="Y19" s="150">
        <v>2995798.3193277302</v>
      </c>
      <c r="Z19" s="221">
        <v>3151260.50420168</v>
      </c>
      <c r="AA19" s="116">
        <v>40.815479717203267</v>
      </c>
      <c r="AB19" s="117">
        <v>0</v>
      </c>
      <c r="AC19" s="120">
        <v>0</v>
      </c>
      <c r="AD19" s="68">
        <v>0</v>
      </c>
      <c r="AE19" s="229" t="s">
        <v>234</v>
      </c>
      <c r="AF19" s="220" t="s">
        <v>410</v>
      </c>
      <c r="AG19" s="230"/>
      <c r="AH19" s="159" t="s">
        <v>442</v>
      </c>
      <c r="AI19" s="159" t="s">
        <v>442</v>
      </c>
      <c r="AJ19" s="159" t="s">
        <v>442</v>
      </c>
      <c r="AK19" s="159" t="s">
        <v>442</v>
      </c>
      <c r="AL19" s="159" t="s">
        <v>442</v>
      </c>
      <c r="AM19" s="159" t="s">
        <v>442</v>
      </c>
      <c r="AN19" s="159" t="s">
        <v>442</v>
      </c>
      <c r="AO19" s="231">
        <v>0</v>
      </c>
      <c r="AP19" s="160"/>
    </row>
    <row r="20" spans="1:42">
      <c r="A20" s="113"/>
      <c r="B20" s="113"/>
      <c r="C20" s="113"/>
      <c r="D20" s="113"/>
      <c r="E20" s="113"/>
      <c r="F20" s="48"/>
      <c r="G20" s="48"/>
      <c r="H20" s="48"/>
      <c r="I20" s="48"/>
      <c r="J20" s="48"/>
      <c r="K20" s="48"/>
      <c r="L20" s="48"/>
      <c r="M20" s="48"/>
      <c r="N20" s="66">
        <v>1</v>
      </c>
      <c r="O20" s="108"/>
      <c r="P20" s="61"/>
      <c r="Q20" s="202">
        <v>943</v>
      </c>
      <c r="R20" s="202" t="s">
        <v>395</v>
      </c>
      <c r="S20" s="202" t="s">
        <v>98</v>
      </c>
      <c r="T20" s="202" t="s">
        <v>393</v>
      </c>
      <c r="U20" s="202" t="s">
        <v>414</v>
      </c>
      <c r="V20" s="202" t="s">
        <v>416</v>
      </c>
      <c r="W20" s="202" t="s">
        <v>12</v>
      </c>
      <c r="X20" s="202"/>
      <c r="Y20" s="203">
        <v>2190000</v>
      </c>
      <c r="Z20" s="191">
        <v>2190000</v>
      </c>
      <c r="AA20" s="67">
        <v>29.837088833381056</v>
      </c>
      <c r="AB20" s="90">
        <v>0</v>
      </c>
      <c r="AC20" s="119">
        <v>0</v>
      </c>
      <c r="AD20" s="68">
        <v>0</v>
      </c>
      <c r="AE20" s="48" t="s">
        <v>423</v>
      </c>
      <c r="AF20" t="s">
        <v>430</v>
      </c>
      <c r="AG20" s="114"/>
      <c r="AH20" s="151" t="s">
        <v>442</v>
      </c>
      <c r="AI20" s="151" t="s">
        <v>442</v>
      </c>
      <c r="AJ20" s="151" t="s">
        <v>442</v>
      </c>
      <c r="AK20" s="151" t="s">
        <v>442</v>
      </c>
      <c r="AL20" s="151" t="s">
        <v>442</v>
      </c>
      <c r="AM20" s="151" t="s">
        <v>442</v>
      </c>
      <c r="AN20" s="151" t="s">
        <v>442</v>
      </c>
      <c r="AO20" s="192">
        <v>0</v>
      </c>
      <c r="AP20" s="103"/>
    </row>
    <row r="21" spans="1:42" ht="17" customHeight="1">
      <c r="A21" s="113"/>
      <c r="B21" s="113"/>
      <c r="C21" s="113"/>
      <c r="D21" s="113"/>
      <c r="E21" s="113"/>
      <c r="F21" s="48"/>
      <c r="G21" s="48"/>
      <c r="H21" s="48"/>
      <c r="I21" s="48"/>
      <c r="J21" s="48"/>
      <c r="K21" s="48"/>
      <c r="L21" s="48"/>
      <c r="M21" s="48"/>
      <c r="N21" s="66">
        <v>1</v>
      </c>
      <c r="O21" s="108"/>
      <c r="P21" s="61"/>
      <c r="Q21" s="200">
        <v>944</v>
      </c>
      <c r="R21" s="200" t="s">
        <v>395</v>
      </c>
      <c r="S21" s="200" t="s">
        <v>413</v>
      </c>
      <c r="T21" s="200" t="s">
        <v>412</v>
      </c>
      <c r="U21" s="200" t="s">
        <v>415</v>
      </c>
      <c r="V21" s="200" t="s">
        <v>416</v>
      </c>
      <c r="W21" s="200" t="s">
        <v>12</v>
      </c>
      <c r="X21" s="200"/>
      <c r="Y21" s="201">
        <v>490000</v>
      </c>
      <c r="Z21" s="191">
        <v>490000</v>
      </c>
      <c r="AA21" s="67">
        <v>6.6758783234505561</v>
      </c>
      <c r="AB21" s="90">
        <v>0</v>
      </c>
      <c r="AC21" s="119">
        <v>0</v>
      </c>
      <c r="AD21" s="68">
        <v>0</v>
      </c>
      <c r="AE21" s="225" t="s">
        <v>234</v>
      </c>
      <c r="AF21" t="s">
        <v>430</v>
      </c>
      <c r="AG21" s="114"/>
      <c r="AH21" s="152" t="s">
        <v>442</v>
      </c>
      <c r="AI21" s="152" t="s">
        <v>442</v>
      </c>
      <c r="AJ21" s="152" t="s">
        <v>442</v>
      </c>
      <c r="AK21" s="152" t="s">
        <v>442</v>
      </c>
      <c r="AL21" s="152" t="s">
        <v>442</v>
      </c>
      <c r="AM21" s="152" t="s">
        <v>442</v>
      </c>
      <c r="AN21" s="152" t="s">
        <v>442</v>
      </c>
      <c r="AO21" s="192">
        <v>0</v>
      </c>
      <c r="AP21" s="103"/>
    </row>
    <row r="22" spans="1:42" s="220" customFormat="1" ht="17" customHeight="1" thickBot="1">
      <c r="A22" s="236"/>
      <c r="B22" s="236"/>
      <c r="C22" s="236"/>
      <c r="D22" s="236"/>
      <c r="E22" s="236"/>
      <c r="F22" s="217"/>
      <c r="G22" s="217"/>
      <c r="H22" s="217"/>
      <c r="I22" s="217"/>
      <c r="J22" s="217"/>
      <c r="K22" s="217"/>
      <c r="L22" s="217"/>
      <c r="M22" s="217"/>
      <c r="N22" s="115">
        <v>1</v>
      </c>
      <c r="O22" s="218"/>
      <c r="P22" s="232"/>
      <c r="Q22" s="237">
        <v>945</v>
      </c>
      <c r="R22" s="237" t="s">
        <v>395</v>
      </c>
      <c r="S22" s="237" t="s">
        <v>413</v>
      </c>
      <c r="T22" s="237" t="s">
        <v>412</v>
      </c>
      <c r="U22" s="237" t="s">
        <v>415</v>
      </c>
      <c r="V22" s="237" t="s">
        <v>416</v>
      </c>
      <c r="W22" s="237" t="s">
        <v>12</v>
      </c>
      <c r="X22" s="237"/>
      <c r="Y22" s="238">
        <v>490000</v>
      </c>
      <c r="Z22" s="221">
        <v>490000</v>
      </c>
      <c r="AA22" s="116">
        <v>6.6758783234505561</v>
      </c>
      <c r="AB22" s="117">
        <v>0</v>
      </c>
      <c r="AC22" s="120">
        <v>0</v>
      </c>
      <c r="AD22" s="68">
        <v>0</v>
      </c>
      <c r="AE22" s="233" t="s">
        <v>234</v>
      </c>
      <c r="AF22" s="220" t="s">
        <v>430</v>
      </c>
      <c r="AG22" s="230"/>
      <c r="AH22" s="159" t="s">
        <v>442</v>
      </c>
      <c r="AI22" s="159" t="s">
        <v>442</v>
      </c>
      <c r="AJ22" s="159" t="s">
        <v>442</v>
      </c>
      <c r="AK22" s="159" t="s">
        <v>442</v>
      </c>
      <c r="AL22" s="159" t="s">
        <v>442</v>
      </c>
      <c r="AM22" s="159" t="s">
        <v>442</v>
      </c>
      <c r="AN22" s="159" t="s">
        <v>442</v>
      </c>
      <c r="AO22" s="231">
        <v>0</v>
      </c>
      <c r="AP22" s="160"/>
    </row>
    <row r="23" spans="1:42" s="204" customFormat="1">
      <c r="A23" s="207"/>
      <c r="B23" s="207"/>
      <c r="C23" s="207"/>
      <c r="D23" s="207"/>
      <c r="E23" s="207"/>
      <c r="N23" s="66">
        <v>1</v>
      </c>
      <c r="O23" s="108"/>
      <c r="Q23" s="208">
        <v>949</v>
      </c>
      <c r="R23" s="205" t="s">
        <v>395</v>
      </c>
      <c r="S23" s="205" t="s">
        <v>420</v>
      </c>
      <c r="T23" s="204" t="s">
        <v>418</v>
      </c>
      <c r="U23" s="207" t="s">
        <v>419</v>
      </c>
      <c r="V23" s="205" t="s">
        <v>421</v>
      </c>
      <c r="W23" s="205" t="s">
        <v>12</v>
      </c>
      <c r="X23" s="205"/>
      <c r="Y23" s="206">
        <v>237731</v>
      </c>
      <c r="Z23" s="191">
        <v>237731</v>
      </c>
      <c r="AA23" s="67">
        <v>3.2389045504331104</v>
      </c>
      <c r="AB23" s="90">
        <v>0</v>
      </c>
      <c r="AC23" s="119">
        <v>0</v>
      </c>
      <c r="AD23" s="68">
        <v>0</v>
      </c>
      <c r="AE23" s="48"/>
      <c r="AF23" t="s">
        <v>432</v>
      </c>
      <c r="AG23" s="114"/>
      <c r="AH23" s="151" t="s">
        <v>442</v>
      </c>
      <c r="AI23" s="151" t="s">
        <v>442</v>
      </c>
      <c r="AJ23" s="151" t="s">
        <v>442</v>
      </c>
      <c r="AK23" s="151" t="s">
        <v>442</v>
      </c>
      <c r="AL23" s="151" t="s">
        <v>442</v>
      </c>
      <c r="AM23" s="151" t="s">
        <v>442</v>
      </c>
      <c r="AN23" s="151" t="s">
        <v>442</v>
      </c>
      <c r="AO23" s="192">
        <v>0</v>
      </c>
      <c r="AP23" s="103"/>
    </row>
    <row r="24" spans="1:42" s="204" customFormat="1">
      <c r="A24" s="222"/>
      <c r="B24" s="222"/>
      <c r="C24" s="222"/>
      <c r="D24" s="222"/>
      <c r="E24" s="222"/>
      <c r="F24" s="223"/>
      <c r="G24" s="223"/>
      <c r="H24" s="223"/>
      <c r="I24" s="223"/>
      <c r="J24" s="223"/>
      <c r="K24" s="223"/>
      <c r="L24" s="223"/>
      <c r="M24" s="223"/>
      <c r="N24" s="66">
        <v>1</v>
      </c>
      <c r="O24" s="108"/>
      <c r="Q24" s="208">
        <v>950</v>
      </c>
      <c r="R24" s="205" t="s">
        <v>395</v>
      </c>
      <c r="S24" s="205" t="s">
        <v>420</v>
      </c>
      <c r="T24" s="204" t="s">
        <v>418</v>
      </c>
      <c r="U24" s="207" t="s">
        <v>419</v>
      </c>
      <c r="V24" s="205" t="s">
        <v>416</v>
      </c>
      <c r="W24" s="205" t="s">
        <v>12</v>
      </c>
      <c r="X24" s="205"/>
      <c r="Y24" s="206">
        <v>237731</v>
      </c>
      <c r="Z24" s="191">
        <v>237731</v>
      </c>
      <c r="AA24" s="67">
        <v>3.2389045504331104</v>
      </c>
      <c r="AB24" s="90">
        <v>0</v>
      </c>
      <c r="AC24" s="119">
        <v>0</v>
      </c>
      <c r="AD24" s="68">
        <v>0</v>
      </c>
      <c r="AE24" s="48"/>
      <c r="AF24" t="s">
        <v>432</v>
      </c>
      <c r="AG24" s="114"/>
      <c r="AH24" s="152" t="s">
        <v>442</v>
      </c>
      <c r="AI24" s="152" t="s">
        <v>442</v>
      </c>
      <c r="AJ24" s="152" t="s">
        <v>442</v>
      </c>
      <c r="AK24" s="152" t="s">
        <v>442</v>
      </c>
      <c r="AL24" s="152" t="s">
        <v>442</v>
      </c>
      <c r="AM24" s="152" t="s">
        <v>442</v>
      </c>
      <c r="AN24" s="152" t="s">
        <v>442</v>
      </c>
      <c r="AO24" s="192">
        <v>0</v>
      </c>
      <c r="AP24" s="103"/>
    </row>
    <row r="25" spans="1:42" s="48" customFormat="1">
      <c r="N25" s="66">
        <v>0.8</v>
      </c>
      <c r="T25" s="204" t="s">
        <v>462</v>
      </c>
      <c r="U25" s="204" t="s">
        <v>467</v>
      </c>
      <c r="V25" s="228" t="s">
        <v>213</v>
      </c>
      <c r="W25" s="204"/>
      <c r="Y25" s="148">
        <v>990000</v>
      </c>
      <c r="AA25" s="67">
        <v>13.487999061665409</v>
      </c>
      <c r="AB25" s="90">
        <v>2.6975998123330811</v>
      </c>
      <c r="AC25" s="119">
        <v>0.29973331248145346</v>
      </c>
      <c r="AD25" s="68">
        <v>2.6975998123330811</v>
      </c>
      <c r="AF25"/>
    </row>
    <row r="26" spans="1:42" s="217" customFormat="1" ht="17" thickBot="1">
      <c r="N26" s="115">
        <v>1</v>
      </c>
      <c r="T26" s="219" t="s">
        <v>463</v>
      </c>
      <c r="U26" s="219" t="s">
        <v>468</v>
      </c>
      <c r="V26" s="234" t="s">
        <v>464</v>
      </c>
      <c r="W26" s="219"/>
      <c r="Y26" s="235">
        <v>990000</v>
      </c>
      <c r="AA26" s="116">
        <v>13.487999061665409</v>
      </c>
      <c r="AB26" s="117">
        <v>0</v>
      </c>
      <c r="AC26" s="120">
        <v>0</v>
      </c>
      <c r="AD26" s="68">
        <v>2.6975998123330811</v>
      </c>
      <c r="AF26" s="220"/>
    </row>
    <row r="27" spans="1:42" ht="17" thickBot="1">
      <c r="A27" s="277"/>
      <c r="B27" s="277"/>
      <c r="C27" s="277"/>
      <c r="D27" s="277"/>
      <c r="E27" s="277"/>
      <c r="F27" s="365"/>
      <c r="G27" s="365"/>
      <c r="H27" s="284"/>
      <c r="I27" s="365"/>
      <c r="J27" s="365"/>
      <c r="K27" s="365"/>
      <c r="L27" s="365"/>
      <c r="M27" s="365"/>
      <c r="N27" s="247">
        <v>1</v>
      </c>
      <c r="O27" s="340"/>
      <c r="P27" s="350" t="s">
        <v>269</v>
      </c>
      <c r="Q27" s="278">
        <v>940</v>
      </c>
      <c r="R27" s="279" t="s">
        <v>267</v>
      </c>
      <c r="S27" s="280" t="s">
        <v>398</v>
      </c>
      <c r="T27" s="279" t="s">
        <v>469</v>
      </c>
      <c r="U27" s="279" t="s">
        <v>277</v>
      </c>
      <c r="V27" s="280" t="s">
        <v>213</v>
      </c>
      <c r="W27" s="279" t="s">
        <v>201</v>
      </c>
      <c r="X27" s="279"/>
      <c r="Y27" s="281">
        <v>8000000</v>
      </c>
      <c r="Z27" s="282">
        <v>0</v>
      </c>
      <c r="AA27" s="249">
        <v>108.99393181143765</v>
      </c>
      <c r="AB27" s="249">
        <v>0</v>
      </c>
      <c r="AC27" s="338">
        <v>0</v>
      </c>
      <c r="AD27" s="283">
        <v>0</v>
      </c>
      <c r="AE27" s="284"/>
      <c r="AF27" s="285" t="s">
        <v>411</v>
      </c>
      <c r="AG27" s="286"/>
      <c r="AH27" s="287" t="s">
        <v>442</v>
      </c>
      <c r="AI27" s="287" t="s">
        <v>442</v>
      </c>
      <c r="AJ27" s="287" t="s">
        <v>442</v>
      </c>
      <c r="AK27" s="287" t="s">
        <v>442</v>
      </c>
      <c r="AL27" s="287" t="s">
        <v>442</v>
      </c>
      <c r="AM27" s="287" t="s">
        <v>442</v>
      </c>
      <c r="AN27" s="287" t="s">
        <v>442</v>
      </c>
      <c r="AO27" s="227"/>
    </row>
    <row r="28" spans="1:42">
      <c r="A28" s="161"/>
      <c r="B28" s="161"/>
      <c r="C28" s="161"/>
      <c r="D28" s="161"/>
      <c r="E28" s="161"/>
      <c r="F28" s="158"/>
      <c r="G28" s="158"/>
      <c r="H28" s="158"/>
      <c r="I28" s="158"/>
      <c r="J28" s="158"/>
      <c r="K28" s="158"/>
      <c r="L28" s="158"/>
      <c r="M28" s="158"/>
      <c r="N28" s="247">
        <v>1</v>
      </c>
      <c r="O28" s="341"/>
      <c r="P28" s="351"/>
      <c r="Q28" s="267">
        <v>946</v>
      </c>
      <c r="R28" s="268" t="s">
        <v>489</v>
      </c>
      <c r="S28" s="268" t="s">
        <v>70</v>
      </c>
      <c r="T28" s="268" t="s">
        <v>71</v>
      </c>
      <c r="U28" s="269" t="s">
        <v>417</v>
      </c>
      <c r="V28" s="268" t="s">
        <v>213</v>
      </c>
      <c r="W28" s="269" t="s">
        <v>12</v>
      </c>
      <c r="X28" s="270"/>
      <c r="Y28" s="271">
        <v>2100000</v>
      </c>
      <c r="Z28" s="272">
        <v>2100000</v>
      </c>
      <c r="AA28" s="249">
        <v>28.610907100502384</v>
      </c>
      <c r="AB28" s="249">
        <v>0</v>
      </c>
      <c r="AC28" s="338">
        <v>0</v>
      </c>
      <c r="AD28" s="273">
        <v>0</v>
      </c>
      <c r="AE28" s="158" t="s">
        <v>423</v>
      </c>
      <c r="AF28" s="274" t="s">
        <v>431</v>
      </c>
      <c r="AG28" s="275"/>
      <c r="AH28" s="276" t="s">
        <v>442</v>
      </c>
      <c r="AI28" s="276" t="s">
        <v>442</v>
      </c>
      <c r="AJ28" s="276" t="s">
        <v>442</v>
      </c>
      <c r="AK28" s="276" t="s">
        <v>442</v>
      </c>
      <c r="AL28" s="276" t="s">
        <v>442</v>
      </c>
      <c r="AM28" s="276" t="s">
        <v>442</v>
      </c>
      <c r="AN28" s="276" t="s">
        <v>442</v>
      </c>
      <c r="AO28" s="226"/>
    </row>
    <row r="29" spans="1:42">
      <c r="A29" s="257"/>
      <c r="B29" s="257"/>
      <c r="C29" s="257"/>
      <c r="D29" s="257"/>
      <c r="E29" s="257"/>
      <c r="F29" s="77"/>
      <c r="G29" s="77"/>
      <c r="H29" s="77"/>
      <c r="I29" s="77"/>
      <c r="J29" s="77"/>
      <c r="K29" s="77"/>
      <c r="L29" s="77"/>
      <c r="M29" s="77"/>
      <c r="N29" s="247">
        <v>1</v>
      </c>
      <c r="O29" s="342"/>
      <c r="P29" s="352"/>
      <c r="Q29" s="252">
        <v>947</v>
      </c>
      <c r="R29" s="268" t="s">
        <v>489</v>
      </c>
      <c r="S29" s="253" t="s">
        <v>15</v>
      </c>
      <c r="T29" s="253" t="s">
        <v>16</v>
      </c>
      <c r="U29" s="254" t="s">
        <v>417</v>
      </c>
      <c r="V29" s="253" t="s">
        <v>213</v>
      </c>
      <c r="W29" s="254" t="s">
        <v>12</v>
      </c>
      <c r="X29" s="255"/>
      <c r="Y29" s="256">
        <v>1390000</v>
      </c>
      <c r="Z29" s="248">
        <v>1390000</v>
      </c>
      <c r="AA29" s="249">
        <v>18.937695652237291</v>
      </c>
      <c r="AB29" s="249">
        <v>0</v>
      </c>
      <c r="AC29" s="338">
        <v>0</v>
      </c>
      <c r="AD29" s="273">
        <v>0</v>
      </c>
      <c r="AE29" s="77" t="s">
        <v>234</v>
      </c>
      <c r="AF29" s="306">
        <v>46110</v>
      </c>
      <c r="AG29" s="250"/>
      <c r="AH29" s="251" t="s">
        <v>442</v>
      </c>
      <c r="AI29" s="251" t="s">
        <v>442</v>
      </c>
      <c r="AJ29" s="251" t="s">
        <v>442</v>
      </c>
      <c r="AK29" s="251" t="s">
        <v>442</v>
      </c>
      <c r="AL29" s="251" t="s">
        <v>442</v>
      </c>
      <c r="AM29" s="251" t="s">
        <v>442</v>
      </c>
      <c r="AN29" s="251" t="s">
        <v>442</v>
      </c>
      <c r="AO29" s="216"/>
    </row>
    <row r="30" spans="1:42" ht="17" thickBot="1">
      <c r="A30" s="167"/>
      <c r="B30" s="167"/>
      <c r="C30" s="167"/>
      <c r="D30" s="285"/>
      <c r="E30" s="167"/>
      <c r="F30" s="365"/>
      <c r="G30" s="365"/>
      <c r="H30" s="284"/>
      <c r="I30" s="365"/>
      <c r="J30" s="365"/>
      <c r="K30" s="365"/>
      <c r="L30" s="365"/>
      <c r="M30" s="365"/>
      <c r="N30" s="247">
        <v>1</v>
      </c>
      <c r="O30" s="343"/>
      <c r="P30" s="353"/>
      <c r="Q30" s="267">
        <v>948</v>
      </c>
      <c r="R30" s="268" t="s">
        <v>489</v>
      </c>
      <c r="S30" s="288" t="s">
        <v>96</v>
      </c>
      <c r="T30" s="288" t="s">
        <v>97</v>
      </c>
      <c r="U30" s="289" t="s">
        <v>417</v>
      </c>
      <c r="V30" s="288" t="s">
        <v>213</v>
      </c>
      <c r="W30" s="289" t="s">
        <v>12</v>
      </c>
      <c r="X30" s="290"/>
      <c r="Y30" s="291">
        <v>4450000</v>
      </c>
      <c r="Z30" s="282">
        <v>4450000</v>
      </c>
      <c r="AA30" s="249">
        <v>60.627874570112191</v>
      </c>
      <c r="AB30" s="249">
        <v>0</v>
      </c>
      <c r="AC30" s="338">
        <v>0</v>
      </c>
      <c r="AD30" s="273">
        <v>0</v>
      </c>
      <c r="AE30" s="361" t="s">
        <v>423</v>
      </c>
      <c r="AF30" s="285" t="s">
        <v>432</v>
      </c>
      <c r="AG30" s="250"/>
      <c r="AH30" s="287" t="s">
        <v>442</v>
      </c>
      <c r="AI30" s="287" t="s">
        <v>442</v>
      </c>
      <c r="AJ30" s="287" t="s">
        <v>442</v>
      </c>
      <c r="AK30" s="287" t="s">
        <v>442</v>
      </c>
      <c r="AL30" s="287" t="s">
        <v>442</v>
      </c>
      <c r="AM30" s="287" t="s">
        <v>442</v>
      </c>
      <c r="AN30" s="287" t="s">
        <v>442</v>
      </c>
      <c r="AO30" s="227"/>
    </row>
    <row r="31" spans="1:42" ht="17" thickBot="1">
      <c r="A31" s="212"/>
      <c r="B31" s="212"/>
      <c r="C31" s="212"/>
      <c r="D31" s="212"/>
      <c r="E31" s="212"/>
      <c r="F31" s="365"/>
      <c r="G31" s="143"/>
      <c r="H31" s="143"/>
      <c r="I31" s="143"/>
      <c r="J31" s="143"/>
      <c r="K31" s="143"/>
      <c r="L31" s="143"/>
      <c r="M31" s="143"/>
      <c r="N31" s="247">
        <v>1</v>
      </c>
      <c r="O31" s="344"/>
      <c r="P31" s="354"/>
      <c r="Q31" s="292">
        <v>951</v>
      </c>
      <c r="R31" s="293" t="s">
        <v>440</v>
      </c>
      <c r="S31" s="293" t="s">
        <v>78</v>
      </c>
      <c r="T31" s="293" t="s">
        <v>433</v>
      </c>
      <c r="U31" s="294" t="s">
        <v>435</v>
      </c>
      <c r="V31" s="293" t="s">
        <v>434</v>
      </c>
      <c r="W31" s="294" t="s">
        <v>12</v>
      </c>
      <c r="X31" s="295"/>
      <c r="Y31" s="296">
        <v>1650000</v>
      </c>
      <c r="Z31" s="297">
        <v>1650000</v>
      </c>
      <c r="AA31" s="249">
        <v>22.479998436109014</v>
      </c>
      <c r="AB31" s="249">
        <v>0</v>
      </c>
      <c r="AC31" s="338">
        <v>0</v>
      </c>
      <c r="AD31" s="273">
        <v>0</v>
      </c>
      <c r="AE31" s="362" t="s">
        <v>234</v>
      </c>
      <c r="AF31" s="298" t="s">
        <v>451</v>
      </c>
      <c r="AG31" s="250"/>
      <c r="AH31" s="299" t="s">
        <v>442</v>
      </c>
      <c r="AI31" s="299" t="s">
        <v>442</v>
      </c>
      <c r="AJ31" s="299" t="s">
        <v>442</v>
      </c>
      <c r="AK31" s="287" t="s">
        <v>442</v>
      </c>
      <c r="AL31" s="287" t="s">
        <v>442</v>
      </c>
      <c r="AM31" s="251" t="s">
        <v>442</v>
      </c>
      <c r="AN31" s="299" t="s">
        <v>442</v>
      </c>
      <c r="AO31" s="300"/>
    </row>
    <row r="32" spans="1:42" ht="17" thickBot="1">
      <c r="A32" s="212"/>
      <c r="B32" s="212"/>
      <c r="C32" s="212"/>
      <c r="D32" s="212"/>
      <c r="E32" s="212"/>
      <c r="F32" s="143"/>
      <c r="G32" s="143"/>
      <c r="H32" s="143"/>
      <c r="I32" s="143"/>
      <c r="J32" s="143"/>
      <c r="K32" s="143"/>
      <c r="L32" s="143"/>
      <c r="M32" s="143"/>
      <c r="N32" s="247">
        <v>1</v>
      </c>
      <c r="O32" s="298"/>
      <c r="P32" s="298"/>
      <c r="Q32" s="302">
        <v>955</v>
      </c>
      <c r="R32" s="303" t="s">
        <v>444</v>
      </c>
      <c r="S32" s="303" t="s">
        <v>110</v>
      </c>
      <c r="T32" s="303" t="s">
        <v>446</v>
      </c>
      <c r="U32" s="303" t="s">
        <v>447</v>
      </c>
      <c r="V32" s="303" t="s">
        <v>445</v>
      </c>
      <c r="W32" s="303"/>
      <c r="X32" s="303"/>
      <c r="Y32" s="304">
        <v>2520000</v>
      </c>
      <c r="Z32" s="305">
        <v>2520000</v>
      </c>
      <c r="AA32" s="249">
        <v>34.333088520602857</v>
      </c>
      <c r="AB32" s="249">
        <v>0</v>
      </c>
      <c r="AC32" s="338">
        <v>0</v>
      </c>
      <c r="AD32" s="273">
        <v>0</v>
      </c>
      <c r="AE32" s="362"/>
      <c r="AF32" s="298" t="s">
        <v>452</v>
      </c>
      <c r="AG32" s="250"/>
      <c r="AH32" s="299" t="s">
        <v>442</v>
      </c>
      <c r="AI32" s="299" t="s">
        <v>442</v>
      </c>
      <c r="AJ32" s="299" t="s">
        <v>442</v>
      </c>
      <c r="AK32" s="287" t="s">
        <v>442</v>
      </c>
      <c r="AL32" s="287" t="s">
        <v>442</v>
      </c>
      <c r="AM32" s="251" t="s">
        <v>442</v>
      </c>
      <c r="AN32" s="299" t="s">
        <v>442</v>
      </c>
      <c r="AO32" s="298"/>
    </row>
    <row r="33" spans="1:41">
      <c r="A33" s="179"/>
      <c r="B33" s="179"/>
      <c r="C33" s="179"/>
      <c r="D33" s="179"/>
      <c r="E33" s="179"/>
      <c r="F33" s="121"/>
      <c r="G33" s="121"/>
      <c r="H33" s="121"/>
      <c r="I33" s="121"/>
      <c r="J33" s="121"/>
      <c r="K33" s="121"/>
      <c r="L33" s="121"/>
      <c r="M33" s="121"/>
      <c r="N33" s="247">
        <v>1</v>
      </c>
      <c r="O33" s="341"/>
      <c r="P33" s="274"/>
      <c r="Q33" s="267">
        <v>952</v>
      </c>
      <c r="R33" s="268" t="s">
        <v>439</v>
      </c>
      <c r="S33" s="268" t="s">
        <v>121</v>
      </c>
      <c r="T33" s="268" t="s">
        <v>438</v>
      </c>
      <c r="U33" s="269" t="s">
        <v>449</v>
      </c>
      <c r="V33" s="269" t="s">
        <v>213</v>
      </c>
      <c r="W33" s="269" t="s">
        <v>12</v>
      </c>
      <c r="X33" s="274"/>
      <c r="Y33" s="301">
        <v>3890000</v>
      </c>
      <c r="Z33" s="272">
        <v>3890000</v>
      </c>
      <c r="AA33" s="249">
        <v>52.998299343311558</v>
      </c>
      <c r="AB33" s="249">
        <v>0</v>
      </c>
      <c r="AC33" s="338">
        <v>0</v>
      </c>
      <c r="AD33" s="273">
        <v>0</v>
      </c>
      <c r="AE33" s="158"/>
      <c r="AF33" s="274" t="s">
        <v>451</v>
      </c>
      <c r="AG33" s="250"/>
      <c r="AH33" s="276" t="s">
        <v>442</v>
      </c>
      <c r="AI33" s="276" t="s">
        <v>442</v>
      </c>
      <c r="AJ33" s="276" t="s">
        <v>442</v>
      </c>
      <c r="AK33" s="276" t="s">
        <v>442</v>
      </c>
      <c r="AL33" s="276" t="s">
        <v>442</v>
      </c>
      <c r="AM33" s="251" t="s">
        <v>442</v>
      </c>
      <c r="AN33" s="276" t="s">
        <v>442</v>
      </c>
      <c r="AO33" s="226"/>
    </row>
    <row r="34" spans="1:41">
      <c r="A34" s="245"/>
      <c r="B34" s="245"/>
      <c r="C34" s="245"/>
      <c r="D34" s="245"/>
      <c r="E34" s="245"/>
      <c r="F34" s="246"/>
      <c r="G34" s="246"/>
      <c r="H34" s="246"/>
      <c r="I34" s="246"/>
      <c r="J34" s="246"/>
      <c r="K34" s="246"/>
      <c r="L34" s="246"/>
      <c r="M34" s="246"/>
      <c r="N34" s="247">
        <v>1</v>
      </c>
      <c r="O34" s="342"/>
      <c r="P34" s="118"/>
      <c r="Q34" s="267">
        <v>954</v>
      </c>
      <c r="R34" s="253" t="s">
        <v>439</v>
      </c>
      <c r="S34" s="253" t="s">
        <v>173</v>
      </c>
      <c r="T34" s="253" t="s">
        <v>436</v>
      </c>
      <c r="U34" s="254" t="s">
        <v>449</v>
      </c>
      <c r="V34" s="254" t="s">
        <v>213</v>
      </c>
      <c r="W34" s="254" t="s">
        <v>12</v>
      </c>
      <c r="X34" s="118"/>
      <c r="Y34" s="258">
        <v>9600000</v>
      </c>
      <c r="Z34" s="248">
        <v>9600000</v>
      </c>
      <c r="AA34" s="249">
        <v>130.79271817372518</v>
      </c>
      <c r="AB34" s="249">
        <v>0</v>
      </c>
      <c r="AC34" s="338">
        <v>0</v>
      </c>
      <c r="AD34" s="273">
        <v>0</v>
      </c>
      <c r="AE34" s="77" t="s">
        <v>450</v>
      </c>
      <c r="AF34" s="118" t="s">
        <v>452</v>
      </c>
      <c r="AG34" s="250"/>
      <c r="AH34" s="251" t="s">
        <v>442</v>
      </c>
      <c r="AI34" s="251" t="s">
        <v>442</v>
      </c>
      <c r="AJ34" s="251" t="s">
        <v>442</v>
      </c>
      <c r="AK34" s="251" t="s">
        <v>442</v>
      </c>
      <c r="AL34" s="251" t="s">
        <v>442</v>
      </c>
      <c r="AM34" s="251" t="s">
        <v>442</v>
      </c>
      <c r="AN34" s="251" t="s">
        <v>442</v>
      </c>
      <c r="AO34" s="216"/>
    </row>
    <row r="35" spans="1:41" s="382" customFormat="1">
      <c r="A35" s="369"/>
      <c r="B35" s="369"/>
      <c r="C35" s="370"/>
      <c r="D35" s="370"/>
      <c r="E35" s="369"/>
      <c r="F35" s="369"/>
      <c r="G35" s="369"/>
      <c r="H35" s="369"/>
      <c r="I35" s="369"/>
      <c r="J35" s="369"/>
      <c r="K35" s="369"/>
      <c r="L35" s="369"/>
      <c r="M35" s="369"/>
      <c r="N35" s="371">
        <v>1</v>
      </c>
      <c r="O35" s="372"/>
      <c r="P35" s="370"/>
      <c r="Q35" s="370">
        <v>828</v>
      </c>
      <c r="R35" s="370" t="s">
        <v>439</v>
      </c>
      <c r="S35" s="370" t="s">
        <v>241</v>
      </c>
      <c r="T35" s="370" t="s">
        <v>437</v>
      </c>
      <c r="U35" s="370" t="s">
        <v>448</v>
      </c>
      <c r="V35" s="370" t="s">
        <v>213</v>
      </c>
      <c r="W35" s="370" t="s">
        <v>12</v>
      </c>
      <c r="X35" s="370"/>
      <c r="Y35" s="373">
        <v>2220084.0336134457</v>
      </c>
      <c r="Z35" s="374">
        <v>0</v>
      </c>
      <c r="AA35" s="375">
        <v>30.246960971915666</v>
      </c>
      <c r="AB35" s="375">
        <v>0</v>
      </c>
      <c r="AC35" s="376">
        <v>0</v>
      </c>
      <c r="AD35" s="377">
        <v>0</v>
      </c>
      <c r="AE35" s="378" t="s">
        <v>426</v>
      </c>
      <c r="AF35" s="370" t="s">
        <v>451</v>
      </c>
      <c r="AG35" s="379"/>
      <c r="AH35" s="380" t="s">
        <v>442</v>
      </c>
      <c r="AI35" s="380" t="s">
        <v>442</v>
      </c>
      <c r="AJ35" s="380" t="s">
        <v>442</v>
      </c>
      <c r="AK35" s="380" t="s">
        <v>442</v>
      </c>
      <c r="AL35" s="380" t="s">
        <v>442</v>
      </c>
      <c r="AM35" s="380" t="s">
        <v>442</v>
      </c>
      <c r="AN35" s="380" t="s">
        <v>442</v>
      </c>
      <c r="AO35" s="381"/>
    </row>
    <row r="36" spans="1:41">
      <c r="A36" s="49"/>
      <c r="B36" s="49"/>
      <c r="C36" s="118"/>
      <c r="D36" s="118"/>
      <c r="E36" s="49"/>
      <c r="F36" s="49"/>
      <c r="G36" s="49"/>
      <c r="H36" s="49"/>
      <c r="I36" s="49"/>
      <c r="J36" s="49"/>
      <c r="K36" s="49"/>
      <c r="L36" s="49"/>
      <c r="M36" s="49"/>
      <c r="N36" s="247">
        <v>1</v>
      </c>
      <c r="O36" s="342"/>
      <c r="P36" s="118"/>
      <c r="Q36" s="118">
        <v>953</v>
      </c>
      <c r="R36" s="118" t="s">
        <v>439</v>
      </c>
      <c r="S36" s="118" t="s">
        <v>206</v>
      </c>
      <c r="T36" s="118" t="s">
        <v>443</v>
      </c>
      <c r="U36" s="118" t="s">
        <v>448</v>
      </c>
      <c r="V36" s="118" t="s">
        <v>213</v>
      </c>
      <c r="W36" s="118" t="s">
        <v>12</v>
      </c>
      <c r="X36" s="118"/>
      <c r="Y36" s="258">
        <v>147815.12605042016</v>
      </c>
      <c r="Z36" s="248">
        <v>139411.76470588235</v>
      </c>
      <c r="AA36" s="249">
        <v>2.0138689711798192</v>
      </c>
      <c r="AB36" s="249">
        <v>0</v>
      </c>
      <c r="AC36" s="338">
        <v>0</v>
      </c>
      <c r="AD36" s="273">
        <v>0</v>
      </c>
      <c r="AE36" s="77"/>
      <c r="AF36" s="118" t="s">
        <v>451</v>
      </c>
      <c r="AG36" s="250"/>
      <c r="AH36" s="251" t="s">
        <v>442</v>
      </c>
      <c r="AI36" s="251" t="s">
        <v>442</v>
      </c>
      <c r="AJ36" s="251" t="s">
        <v>442</v>
      </c>
      <c r="AK36" s="251" t="s">
        <v>442</v>
      </c>
      <c r="AL36" s="251" t="s">
        <v>442</v>
      </c>
      <c r="AM36" s="251" t="s">
        <v>442</v>
      </c>
      <c r="AN36" s="251" t="s">
        <v>442</v>
      </c>
      <c r="AO36" s="216"/>
    </row>
    <row r="37" spans="1:41">
      <c r="A37" s="49"/>
      <c r="B37" s="49"/>
      <c r="C37" s="118"/>
      <c r="D37" s="118"/>
      <c r="E37" s="49"/>
      <c r="F37" s="49"/>
      <c r="G37" s="49"/>
      <c r="H37" s="49"/>
      <c r="I37" s="49"/>
      <c r="J37" s="49"/>
      <c r="K37" s="49"/>
      <c r="L37" s="49"/>
      <c r="M37" s="49"/>
      <c r="N37" s="247">
        <v>1</v>
      </c>
      <c r="O37" s="345"/>
      <c r="P37" s="355"/>
      <c r="Q37" s="105">
        <v>956</v>
      </c>
      <c r="R37" s="264" t="s">
        <v>501</v>
      </c>
      <c r="S37" s="264" t="s">
        <v>369</v>
      </c>
      <c r="T37" s="264" t="s">
        <v>270</v>
      </c>
      <c r="U37" s="264" t="s">
        <v>268</v>
      </c>
      <c r="V37" s="265" t="s">
        <v>265</v>
      </c>
      <c r="W37" s="264" t="s">
        <v>201</v>
      </c>
      <c r="X37" s="264"/>
      <c r="Y37" s="266">
        <v>3151260.5042016809</v>
      </c>
      <c r="Z37" s="248">
        <v>3151260.50420168</v>
      </c>
      <c r="AA37" s="249">
        <v>42.93353406437933</v>
      </c>
      <c r="AB37" s="249">
        <v>0</v>
      </c>
      <c r="AC37" s="338">
        <v>0</v>
      </c>
      <c r="AD37" s="273">
        <v>0</v>
      </c>
      <c r="AE37" s="77"/>
      <c r="AF37" s="118" t="s">
        <v>452</v>
      </c>
      <c r="AG37" s="250" t="s">
        <v>544</v>
      </c>
      <c r="AH37" s="251" t="s">
        <v>442</v>
      </c>
      <c r="AI37" s="251" t="s">
        <v>442</v>
      </c>
      <c r="AJ37" s="251" t="s">
        <v>442</v>
      </c>
      <c r="AK37" s="251" t="s">
        <v>442</v>
      </c>
      <c r="AL37" s="251" t="s">
        <v>442</v>
      </c>
      <c r="AM37" s="251" t="s">
        <v>442</v>
      </c>
      <c r="AN37" s="251" t="s">
        <v>442</v>
      </c>
      <c r="AO37" s="216"/>
    </row>
    <row r="38" spans="1:41">
      <c r="A38" s="49"/>
      <c r="B38" s="49"/>
      <c r="C38" s="118"/>
      <c r="D38" s="118"/>
      <c r="E38" s="49"/>
      <c r="F38" s="49"/>
      <c r="G38" s="49"/>
      <c r="H38" s="49"/>
      <c r="I38" s="49"/>
      <c r="J38" s="49"/>
      <c r="K38" s="49"/>
      <c r="L38" s="49"/>
      <c r="M38" s="49"/>
      <c r="N38" s="247">
        <v>1</v>
      </c>
      <c r="O38" s="345"/>
      <c r="P38" s="355"/>
      <c r="Q38" s="105">
        <v>957</v>
      </c>
      <c r="R38" s="264" t="s">
        <v>501</v>
      </c>
      <c r="S38" s="264" t="s">
        <v>382</v>
      </c>
      <c r="T38" s="264" t="s">
        <v>392</v>
      </c>
      <c r="U38" s="264" t="s">
        <v>268</v>
      </c>
      <c r="V38" s="265" t="s">
        <v>265</v>
      </c>
      <c r="W38" s="264" t="s">
        <v>201</v>
      </c>
      <c r="X38" s="264"/>
      <c r="Y38" s="266">
        <v>3151260.5042016809</v>
      </c>
      <c r="Z38" s="248">
        <v>3151260.50420168</v>
      </c>
      <c r="AA38" s="249">
        <v>42.93353406437933</v>
      </c>
      <c r="AB38" s="249">
        <v>0</v>
      </c>
      <c r="AC38" s="338">
        <v>0</v>
      </c>
      <c r="AD38" s="273">
        <v>0</v>
      </c>
      <c r="AE38" s="77" t="s">
        <v>234</v>
      </c>
      <c r="AF38" s="118" t="s">
        <v>453</v>
      </c>
      <c r="AG38" s="250" t="s">
        <v>544</v>
      </c>
      <c r="AH38" s="251" t="s">
        <v>442</v>
      </c>
      <c r="AI38" s="251" t="s">
        <v>442</v>
      </c>
      <c r="AJ38" s="251" t="s">
        <v>442</v>
      </c>
      <c r="AK38" s="251" t="s">
        <v>442</v>
      </c>
      <c r="AL38" s="251" t="s">
        <v>442</v>
      </c>
      <c r="AM38" s="251" t="s">
        <v>442</v>
      </c>
      <c r="AN38" s="251" t="s">
        <v>442</v>
      </c>
      <c r="AO38" s="216"/>
    </row>
    <row r="39" spans="1:41">
      <c r="A39" s="49"/>
      <c r="B39" s="49"/>
      <c r="C39" s="118"/>
      <c r="D39" s="118"/>
      <c r="E39" s="49"/>
      <c r="F39" s="49"/>
      <c r="G39" s="49"/>
      <c r="H39" s="49"/>
      <c r="I39" s="49"/>
      <c r="J39" s="49"/>
      <c r="K39" s="49"/>
      <c r="L39" s="49"/>
      <c r="M39" s="49"/>
      <c r="N39" s="247">
        <v>1</v>
      </c>
      <c r="O39" s="345"/>
      <c r="P39" s="355"/>
      <c r="Q39" s="105">
        <v>958</v>
      </c>
      <c r="R39" s="264" t="s">
        <v>501</v>
      </c>
      <c r="S39" s="264" t="s">
        <v>356</v>
      </c>
      <c r="T39" s="264" t="s">
        <v>271</v>
      </c>
      <c r="U39" s="264" t="s">
        <v>268</v>
      </c>
      <c r="V39" s="265" t="s">
        <v>265</v>
      </c>
      <c r="W39" s="264" t="s">
        <v>201</v>
      </c>
      <c r="X39" s="264"/>
      <c r="Y39" s="266">
        <v>2968823.5294117648</v>
      </c>
      <c r="Z39" s="248">
        <v>2968824</v>
      </c>
      <c r="AA39" s="249">
        <v>40.447968665612194</v>
      </c>
      <c r="AB39" s="249">
        <v>0</v>
      </c>
      <c r="AC39" s="338">
        <v>0</v>
      </c>
      <c r="AD39" s="273">
        <v>0</v>
      </c>
      <c r="AE39" s="77"/>
      <c r="AF39" s="118" t="s">
        <v>454</v>
      </c>
      <c r="AG39" s="250" t="s">
        <v>544</v>
      </c>
      <c r="AH39" s="251" t="s">
        <v>442</v>
      </c>
      <c r="AI39" s="251" t="s">
        <v>442</v>
      </c>
      <c r="AJ39" s="251" t="s">
        <v>442</v>
      </c>
      <c r="AK39" s="251" t="s">
        <v>442</v>
      </c>
      <c r="AL39" s="251" t="s">
        <v>442</v>
      </c>
      <c r="AM39" s="251" t="s">
        <v>442</v>
      </c>
      <c r="AN39" s="251" t="s">
        <v>442</v>
      </c>
      <c r="AO39" s="216"/>
    </row>
    <row r="40" spans="1:41">
      <c r="A40" s="49"/>
      <c r="B40" s="49"/>
      <c r="C40" s="118"/>
      <c r="D40" s="118"/>
      <c r="E40" s="49"/>
      <c r="F40" s="49"/>
      <c r="G40" s="49"/>
      <c r="H40" s="49"/>
      <c r="I40" s="49"/>
      <c r="J40" s="49"/>
      <c r="K40" s="49"/>
      <c r="L40" s="49"/>
      <c r="M40" s="49"/>
      <c r="N40" s="247">
        <v>1</v>
      </c>
      <c r="O40" s="346"/>
      <c r="P40" s="356"/>
      <c r="Q40" s="105">
        <v>959</v>
      </c>
      <c r="R40" s="264" t="s">
        <v>501</v>
      </c>
      <c r="S40" s="316" t="s">
        <v>227</v>
      </c>
      <c r="T40" s="316" t="s">
        <v>272</v>
      </c>
      <c r="U40" s="316" t="s">
        <v>268</v>
      </c>
      <c r="V40" s="317" t="s">
        <v>265</v>
      </c>
      <c r="W40" s="316" t="s">
        <v>201</v>
      </c>
      <c r="X40" s="316"/>
      <c r="Y40" s="318">
        <v>2968823.5294117648</v>
      </c>
      <c r="Z40" s="319">
        <v>2968824</v>
      </c>
      <c r="AA40" s="249">
        <v>40.447968665612194</v>
      </c>
      <c r="AB40" s="249">
        <v>0</v>
      </c>
      <c r="AC40" s="338">
        <v>0</v>
      </c>
      <c r="AD40" s="273">
        <v>0</v>
      </c>
      <c r="AE40" s="363"/>
      <c r="AF40" s="320" t="s">
        <v>454</v>
      </c>
      <c r="AG40" s="250" t="s">
        <v>544</v>
      </c>
      <c r="AH40" s="321" t="s">
        <v>442</v>
      </c>
      <c r="AI40" s="321" t="s">
        <v>442</v>
      </c>
      <c r="AJ40" s="321" t="s">
        <v>442</v>
      </c>
      <c r="AK40" s="321" t="s">
        <v>442</v>
      </c>
      <c r="AL40" s="321" t="s">
        <v>442</v>
      </c>
      <c r="AM40" s="321" t="s">
        <v>442</v>
      </c>
      <c r="AN40" s="321" t="s">
        <v>442</v>
      </c>
      <c r="AO40" s="216"/>
    </row>
    <row r="41" spans="1:41" ht="17" thickBot="1">
      <c r="A41" s="49"/>
      <c r="B41" s="49"/>
      <c r="C41" s="118"/>
      <c r="D41" s="118"/>
      <c r="E41" s="49"/>
      <c r="F41" s="49"/>
      <c r="G41" s="49"/>
      <c r="H41" s="49"/>
      <c r="I41" s="49"/>
      <c r="J41" s="49"/>
      <c r="K41" s="49"/>
      <c r="L41" s="49"/>
      <c r="M41" s="49"/>
      <c r="N41" s="247">
        <v>1</v>
      </c>
      <c r="O41" s="347"/>
      <c r="P41" s="357"/>
      <c r="Q41" s="105">
        <v>960</v>
      </c>
      <c r="R41" s="264" t="s">
        <v>501</v>
      </c>
      <c r="S41" s="327" t="s">
        <v>352</v>
      </c>
      <c r="T41" s="327" t="s">
        <v>273</v>
      </c>
      <c r="U41" s="327" t="s">
        <v>268</v>
      </c>
      <c r="V41" s="328" t="s">
        <v>265</v>
      </c>
      <c r="W41" s="327" t="s">
        <v>201</v>
      </c>
      <c r="X41" s="327"/>
      <c r="Y41" s="329">
        <v>2885882.3529411764</v>
      </c>
      <c r="Z41" s="282">
        <v>2885882</v>
      </c>
      <c r="AA41" s="249">
        <v>39.317958049037728</v>
      </c>
      <c r="AB41" s="249">
        <v>0</v>
      </c>
      <c r="AC41" s="338">
        <v>0</v>
      </c>
      <c r="AD41" s="273">
        <v>0</v>
      </c>
      <c r="AE41" s="361" t="s">
        <v>234</v>
      </c>
      <c r="AF41" s="320" t="s">
        <v>455</v>
      </c>
      <c r="AG41" s="250" t="s">
        <v>544</v>
      </c>
      <c r="AH41" s="287" t="s">
        <v>442</v>
      </c>
      <c r="AI41" s="287" t="s">
        <v>442</v>
      </c>
      <c r="AJ41" s="287" t="s">
        <v>442</v>
      </c>
      <c r="AK41" s="287" t="s">
        <v>442</v>
      </c>
      <c r="AL41" s="287" t="s">
        <v>442</v>
      </c>
      <c r="AM41" s="287" t="s">
        <v>442</v>
      </c>
      <c r="AN41" s="287" t="s">
        <v>442</v>
      </c>
      <c r="AO41" s="216"/>
    </row>
    <row r="42" spans="1:41" ht="17" thickBot="1">
      <c r="A42" s="49"/>
      <c r="B42" s="49"/>
      <c r="C42" s="118"/>
      <c r="D42" s="118"/>
      <c r="E42" s="49"/>
      <c r="F42" s="49"/>
      <c r="G42" s="49"/>
      <c r="H42" s="49"/>
      <c r="I42" s="49"/>
      <c r="J42" s="49"/>
      <c r="K42" s="49"/>
      <c r="L42" s="49"/>
      <c r="M42" s="49"/>
      <c r="N42" s="247">
        <v>1</v>
      </c>
      <c r="O42" s="348"/>
      <c r="P42" s="358"/>
      <c r="Q42" s="105">
        <v>961</v>
      </c>
      <c r="R42" s="322" t="s">
        <v>471</v>
      </c>
      <c r="S42" s="322" t="s">
        <v>466</v>
      </c>
      <c r="T42" s="322" t="s">
        <v>485</v>
      </c>
      <c r="U42" s="322" t="s">
        <v>268</v>
      </c>
      <c r="V42" s="323" t="s">
        <v>265</v>
      </c>
      <c r="W42" s="322" t="s">
        <v>201</v>
      </c>
      <c r="X42" s="322"/>
      <c r="Y42" s="324">
        <v>11008403</v>
      </c>
      <c r="Z42" s="325">
        <v>0</v>
      </c>
      <c r="AA42" s="249">
        <v>149.98114074185321</v>
      </c>
      <c r="AB42" s="249">
        <v>0</v>
      </c>
      <c r="AC42" s="338">
        <v>0</v>
      </c>
      <c r="AD42" s="273">
        <v>0</v>
      </c>
      <c r="AE42" s="364" t="s">
        <v>424</v>
      </c>
      <c r="AF42" s="320" t="s">
        <v>472</v>
      </c>
      <c r="AG42" s="250" t="s">
        <v>544</v>
      </c>
      <c r="AH42" s="326" t="s">
        <v>442</v>
      </c>
      <c r="AI42" s="326" t="s">
        <v>442</v>
      </c>
      <c r="AJ42" s="326" t="s">
        <v>442</v>
      </c>
      <c r="AK42" s="326" t="s">
        <v>442</v>
      </c>
      <c r="AL42" s="326" t="s">
        <v>442</v>
      </c>
      <c r="AM42" s="326" t="s">
        <v>442</v>
      </c>
      <c r="AN42" s="326" t="s">
        <v>442</v>
      </c>
      <c r="AO42" s="216"/>
    </row>
    <row r="43" spans="1:4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247">
        <v>1</v>
      </c>
      <c r="O43" s="342"/>
      <c r="P43" s="352"/>
      <c r="Q43" s="259">
        <v>942</v>
      </c>
      <c r="R43" s="260" t="s">
        <v>394</v>
      </c>
      <c r="S43" s="260" t="s">
        <v>135</v>
      </c>
      <c r="T43" s="260" t="s">
        <v>120</v>
      </c>
      <c r="U43" s="261" t="s">
        <v>396</v>
      </c>
      <c r="V43" s="260" t="s">
        <v>213</v>
      </c>
      <c r="W43" s="261" t="s">
        <v>12</v>
      </c>
      <c r="X43" s="262"/>
      <c r="Y43" s="263">
        <v>3990000</v>
      </c>
      <c r="Z43" s="248">
        <v>3990000</v>
      </c>
      <c r="AA43" s="249">
        <v>54.360723490954527</v>
      </c>
      <c r="AB43" s="249">
        <v>0</v>
      </c>
      <c r="AC43" s="338">
        <v>0</v>
      </c>
      <c r="AD43" s="273">
        <v>0</v>
      </c>
      <c r="AE43" s="77" t="s">
        <v>234</v>
      </c>
      <c r="AF43" s="118" t="s">
        <v>430</v>
      </c>
      <c r="AG43" s="250" t="s">
        <v>544</v>
      </c>
      <c r="AH43" s="251" t="s">
        <v>442</v>
      </c>
      <c r="AI43" s="251" t="s">
        <v>442</v>
      </c>
      <c r="AJ43" s="251" t="s">
        <v>442</v>
      </c>
      <c r="AK43" s="251" t="s">
        <v>442</v>
      </c>
      <c r="AL43" s="251" t="s">
        <v>442</v>
      </c>
      <c r="AM43" s="251" t="s">
        <v>442</v>
      </c>
      <c r="AN43" s="251" t="s">
        <v>442</v>
      </c>
      <c r="AO43" s="216"/>
    </row>
    <row r="44" spans="1:4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247">
        <v>1</v>
      </c>
      <c r="O44" s="342"/>
      <c r="P44" s="352"/>
      <c r="Q44" s="259">
        <v>941</v>
      </c>
      <c r="R44" s="260" t="s">
        <v>394</v>
      </c>
      <c r="S44" s="260" t="s">
        <v>397</v>
      </c>
      <c r="T44" s="260" t="s">
        <v>491</v>
      </c>
      <c r="U44" s="261" t="s">
        <v>396</v>
      </c>
      <c r="V44" s="260" t="s">
        <v>213</v>
      </c>
      <c r="W44" s="261" t="s">
        <v>12</v>
      </c>
      <c r="X44" s="262"/>
      <c r="Y44" s="263">
        <v>2000000</v>
      </c>
      <c r="Z44" s="248">
        <v>0</v>
      </c>
      <c r="AA44" s="249">
        <v>27.248482952859412</v>
      </c>
      <c r="AB44" s="249">
        <v>0</v>
      </c>
      <c r="AC44" s="338">
        <v>0</v>
      </c>
      <c r="AD44" s="273">
        <v>0</v>
      </c>
      <c r="AE44" s="77"/>
      <c r="AF44" s="118" t="s">
        <v>429</v>
      </c>
      <c r="AG44" s="250" t="s">
        <v>544</v>
      </c>
      <c r="AH44" s="251" t="s">
        <v>442</v>
      </c>
      <c r="AI44" s="251" t="s">
        <v>442</v>
      </c>
      <c r="AJ44" s="251" t="s">
        <v>442</v>
      </c>
      <c r="AK44" s="251" t="s">
        <v>442</v>
      </c>
      <c r="AL44" s="251" t="s">
        <v>442</v>
      </c>
      <c r="AM44" s="251" t="s">
        <v>442</v>
      </c>
      <c r="AN44" s="251" t="s">
        <v>442</v>
      </c>
      <c r="AO44" s="216"/>
    </row>
    <row r="45" spans="1:4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247">
        <v>1</v>
      </c>
      <c r="O45" s="342"/>
      <c r="P45" s="352"/>
      <c r="Q45" s="259">
        <v>941</v>
      </c>
      <c r="R45" s="260" t="s">
        <v>394</v>
      </c>
      <c r="S45" s="260" t="s">
        <v>397</v>
      </c>
      <c r="T45" s="260" t="s">
        <v>492</v>
      </c>
      <c r="U45" s="261" t="s">
        <v>396</v>
      </c>
      <c r="V45" s="260" t="s">
        <v>213</v>
      </c>
      <c r="W45" s="261" t="s">
        <v>12</v>
      </c>
      <c r="X45" s="262"/>
      <c r="Y45" s="263">
        <v>2000000</v>
      </c>
      <c r="Z45" s="248">
        <v>0</v>
      </c>
      <c r="AA45" s="249">
        <v>27.248482952859412</v>
      </c>
      <c r="AB45" s="249">
        <v>0</v>
      </c>
      <c r="AC45" s="338">
        <v>0</v>
      </c>
      <c r="AD45" s="273">
        <v>0</v>
      </c>
      <c r="AE45" s="77"/>
      <c r="AF45" s="118" t="s">
        <v>429</v>
      </c>
      <c r="AG45" s="250" t="s">
        <v>544</v>
      </c>
      <c r="AH45" s="251" t="s">
        <v>442</v>
      </c>
      <c r="AI45" s="251" t="s">
        <v>442</v>
      </c>
      <c r="AJ45" s="251" t="s">
        <v>442</v>
      </c>
      <c r="AK45" s="251" t="s">
        <v>442</v>
      </c>
      <c r="AL45" s="251" t="s">
        <v>442</v>
      </c>
      <c r="AM45" s="251" t="s">
        <v>442</v>
      </c>
      <c r="AN45" s="251" t="s">
        <v>442</v>
      </c>
      <c r="AO45" s="216"/>
    </row>
    <row r="46" spans="1:4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247">
        <v>1</v>
      </c>
      <c r="O46" s="342"/>
      <c r="P46" s="352"/>
      <c r="Q46" s="259">
        <v>941</v>
      </c>
      <c r="R46" s="260" t="s">
        <v>394</v>
      </c>
      <c r="S46" s="260" t="s">
        <v>397</v>
      </c>
      <c r="T46" s="260" t="s">
        <v>493</v>
      </c>
      <c r="U46" s="261" t="s">
        <v>396</v>
      </c>
      <c r="V46" s="260" t="s">
        <v>213</v>
      </c>
      <c r="W46" s="261" t="s">
        <v>12</v>
      </c>
      <c r="X46" s="262"/>
      <c r="Y46" s="263">
        <v>2000000</v>
      </c>
      <c r="Z46" s="248">
        <v>0</v>
      </c>
      <c r="AA46" s="249">
        <v>27.248482952859412</v>
      </c>
      <c r="AB46" s="249">
        <v>0</v>
      </c>
      <c r="AC46" s="338">
        <v>0</v>
      </c>
      <c r="AD46" s="273">
        <v>0</v>
      </c>
      <c r="AE46" s="77"/>
      <c r="AF46" s="118" t="s">
        <v>429</v>
      </c>
      <c r="AG46" s="250" t="s">
        <v>544</v>
      </c>
      <c r="AH46" s="251" t="s">
        <v>442</v>
      </c>
      <c r="AI46" s="251" t="s">
        <v>442</v>
      </c>
      <c r="AJ46" s="251" t="s">
        <v>442</v>
      </c>
      <c r="AK46" s="251" t="s">
        <v>442</v>
      </c>
      <c r="AL46" s="251" t="s">
        <v>442</v>
      </c>
      <c r="AM46" s="251" t="s">
        <v>442</v>
      </c>
      <c r="AN46" s="251" t="s">
        <v>442</v>
      </c>
      <c r="AO46" s="216"/>
    </row>
    <row r="47" spans="1:4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247">
        <v>1</v>
      </c>
      <c r="O47" s="342"/>
      <c r="P47" s="352"/>
      <c r="Q47" s="259">
        <v>941</v>
      </c>
      <c r="R47" s="260" t="s">
        <v>394</v>
      </c>
      <c r="S47" s="260" t="s">
        <v>397</v>
      </c>
      <c r="T47" s="260" t="s">
        <v>494</v>
      </c>
      <c r="U47" s="261" t="s">
        <v>396</v>
      </c>
      <c r="V47" s="260" t="s">
        <v>213</v>
      </c>
      <c r="W47" s="261" t="s">
        <v>12</v>
      </c>
      <c r="X47" s="262"/>
      <c r="Y47" s="263">
        <v>2000000</v>
      </c>
      <c r="Z47" s="248">
        <v>0</v>
      </c>
      <c r="AA47" s="249">
        <v>27.248482952859412</v>
      </c>
      <c r="AB47" s="249">
        <v>0</v>
      </c>
      <c r="AC47" s="338">
        <v>0</v>
      </c>
      <c r="AD47" s="273">
        <v>0</v>
      </c>
      <c r="AE47" s="77"/>
      <c r="AF47" s="118" t="s">
        <v>429</v>
      </c>
      <c r="AG47" s="250" t="s">
        <v>544</v>
      </c>
      <c r="AH47" s="251" t="s">
        <v>442</v>
      </c>
      <c r="AI47" s="251" t="s">
        <v>442</v>
      </c>
      <c r="AJ47" s="251" t="s">
        <v>442</v>
      </c>
      <c r="AK47" s="251" t="s">
        <v>442</v>
      </c>
      <c r="AL47" s="251" t="s">
        <v>442</v>
      </c>
      <c r="AM47" s="251" t="s">
        <v>442</v>
      </c>
      <c r="AN47" s="251" t="s">
        <v>442</v>
      </c>
      <c r="AO47" s="216"/>
    </row>
    <row r="48" spans="1:4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247">
        <v>1</v>
      </c>
      <c r="O48" s="342"/>
      <c r="P48" s="352"/>
      <c r="Q48" s="259">
        <v>941</v>
      </c>
      <c r="R48" s="260" t="s">
        <v>394</v>
      </c>
      <c r="S48" s="260" t="s">
        <v>397</v>
      </c>
      <c r="T48" s="260" t="s">
        <v>495</v>
      </c>
      <c r="U48" s="261" t="s">
        <v>396</v>
      </c>
      <c r="V48" s="260" t="s">
        <v>213</v>
      </c>
      <c r="W48" s="261" t="s">
        <v>12</v>
      </c>
      <c r="X48" s="262"/>
      <c r="Y48" s="263">
        <v>2000000</v>
      </c>
      <c r="Z48" s="248">
        <v>0</v>
      </c>
      <c r="AA48" s="249">
        <v>27.248482952859412</v>
      </c>
      <c r="AB48" s="249">
        <v>0</v>
      </c>
      <c r="AC48" s="338">
        <v>0</v>
      </c>
      <c r="AD48" s="273">
        <v>0</v>
      </c>
      <c r="AE48" s="77"/>
      <c r="AF48" s="118" t="s">
        <v>429</v>
      </c>
      <c r="AG48" s="250" t="s">
        <v>544</v>
      </c>
      <c r="AH48" s="251" t="s">
        <v>442</v>
      </c>
      <c r="AI48" s="251" t="s">
        <v>442</v>
      </c>
      <c r="AJ48" s="251" t="s">
        <v>442</v>
      </c>
      <c r="AK48" s="251" t="s">
        <v>442</v>
      </c>
      <c r="AL48" s="251" t="s">
        <v>442</v>
      </c>
      <c r="AM48" s="251" t="s">
        <v>442</v>
      </c>
      <c r="AN48" s="251" t="s">
        <v>442</v>
      </c>
      <c r="AO48" s="216"/>
    </row>
    <row r="49" spans="1:41">
      <c r="A49" s="366" t="s">
        <v>150</v>
      </c>
      <c r="B49" s="366" t="s">
        <v>151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 t="s">
        <v>152</v>
      </c>
      <c r="N49" s="247">
        <v>1</v>
      </c>
      <c r="Q49" s="331">
        <v>962</v>
      </c>
      <c r="R49" s="331" t="s">
        <v>479</v>
      </c>
      <c r="S49" s="332" t="s">
        <v>138</v>
      </c>
      <c r="T49" s="332" t="s">
        <v>170</v>
      </c>
      <c r="U49" s="333" t="s">
        <v>481</v>
      </c>
      <c r="V49" s="332" t="s">
        <v>480</v>
      </c>
      <c r="W49" s="332" t="s">
        <v>12</v>
      </c>
      <c r="X49" s="332"/>
      <c r="Y49" s="336">
        <v>490000</v>
      </c>
      <c r="Z49" s="248">
        <v>490000</v>
      </c>
      <c r="AA49" s="249">
        <v>6.6758783234505561</v>
      </c>
      <c r="AB49" s="249">
        <v>0</v>
      </c>
      <c r="AC49" s="338">
        <v>0</v>
      </c>
      <c r="AD49" s="273">
        <v>0</v>
      </c>
      <c r="AE49" s="158"/>
      <c r="AF49" s="320" t="s">
        <v>473</v>
      </c>
      <c r="AG49" s="250" t="s">
        <v>544</v>
      </c>
      <c r="AH49" s="276" t="s">
        <v>442</v>
      </c>
      <c r="AI49" s="276" t="s">
        <v>442</v>
      </c>
      <c r="AJ49" s="276" t="s">
        <v>442</v>
      </c>
      <c r="AK49" s="276" t="s">
        <v>442</v>
      </c>
      <c r="AL49" s="276" t="s">
        <v>442</v>
      </c>
      <c r="AM49" s="276" t="s">
        <v>442</v>
      </c>
      <c r="AN49" s="276" t="s">
        <v>442</v>
      </c>
      <c r="AO49" s="216"/>
    </row>
    <row r="50" spans="1:41">
      <c r="A50" s="366" t="s">
        <v>150</v>
      </c>
      <c r="B50" s="366" t="s">
        <v>151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 t="s">
        <v>152</v>
      </c>
      <c r="N50" s="247">
        <v>1</v>
      </c>
      <c r="Q50" s="331">
        <v>963</v>
      </c>
      <c r="R50" s="331" t="s">
        <v>479</v>
      </c>
      <c r="S50" s="332" t="s">
        <v>138</v>
      </c>
      <c r="T50" s="332" t="s">
        <v>170</v>
      </c>
      <c r="U50" s="333" t="s">
        <v>481</v>
      </c>
      <c r="V50" s="332" t="s">
        <v>480</v>
      </c>
      <c r="W50" s="332" t="s">
        <v>12</v>
      </c>
      <c r="X50" s="332"/>
      <c r="Y50" s="336">
        <v>490000</v>
      </c>
      <c r="Z50" s="248">
        <v>490000</v>
      </c>
      <c r="AA50" s="249">
        <v>6.6758783234505561</v>
      </c>
      <c r="AB50" s="249">
        <v>0</v>
      </c>
      <c r="AC50" s="338">
        <v>0</v>
      </c>
      <c r="AD50" s="273">
        <v>0</v>
      </c>
      <c r="AE50" s="158"/>
      <c r="AF50" s="320" t="s">
        <v>473</v>
      </c>
      <c r="AG50" s="250" t="s">
        <v>544</v>
      </c>
      <c r="AH50" s="276" t="s">
        <v>442</v>
      </c>
      <c r="AI50" s="276" t="s">
        <v>442</v>
      </c>
      <c r="AJ50" s="276" t="s">
        <v>442</v>
      </c>
      <c r="AK50" s="276" t="s">
        <v>442</v>
      </c>
      <c r="AL50" s="276" t="s">
        <v>442</v>
      </c>
      <c r="AM50" s="276" t="s">
        <v>442</v>
      </c>
      <c r="AN50" s="276" t="s">
        <v>442</v>
      </c>
      <c r="AO50" s="216"/>
    </row>
    <row r="51" spans="1:41">
      <c r="A51" s="366"/>
      <c r="B51" s="366" t="s">
        <v>151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 t="s">
        <v>152</v>
      </c>
      <c r="N51" s="247">
        <v>1</v>
      </c>
      <c r="O51" s="158"/>
      <c r="P51" s="158"/>
      <c r="Q51" s="331">
        <v>21</v>
      </c>
      <c r="R51" s="331" t="s">
        <v>479</v>
      </c>
      <c r="S51" s="332" t="s">
        <v>98</v>
      </c>
      <c r="T51" s="332" t="s">
        <v>99</v>
      </c>
      <c r="U51" s="333" t="s">
        <v>481</v>
      </c>
      <c r="V51" s="334" t="s">
        <v>480</v>
      </c>
      <c r="W51" s="331" t="s">
        <v>12</v>
      </c>
      <c r="X51" s="331"/>
      <c r="Y51" s="335">
        <v>2190000</v>
      </c>
      <c r="Z51" s="248">
        <v>2190000</v>
      </c>
      <c r="AA51" s="249">
        <v>29.837088833381056</v>
      </c>
      <c r="AB51" s="249">
        <v>0</v>
      </c>
      <c r="AC51" s="338">
        <v>0</v>
      </c>
      <c r="AD51" s="273">
        <v>0</v>
      </c>
      <c r="AE51" s="158"/>
      <c r="AF51" s="320" t="s">
        <v>472</v>
      </c>
      <c r="AG51" s="250" t="s">
        <v>544</v>
      </c>
      <c r="AH51" s="276" t="s">
        <v>442</v>
      </c>
      <c r="AI51" s="276" t="s">
        <v>442</v>
      </c>
      <c r="AJ51" s="276" t="s">
        <v>442</v>
      </c>
      <c r="AK51" s="276" t="s">
        <v>442</v>
      </c>
      <c r="AL51" s="276" t="s">
        <v>442</v>
      </c>
      <c r="AM51" s="276" t="s">
        <v>442</v>
      </c>
      <c r="AN51" s="276" t="s">
        <v>442</v>
      </c>
      <c r="AO51" s="216"/>
    </row>
    <row r="52" spans="1:41">
      <c r="A52" s="366"/>
      <c r="B52" s="366" t="s">
        <v>151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 t="s">
        <v>152</v>
      </c>
      <c r="N52" s="247">
        <v>1</v>
      </c>
      <c r="O52" s="158"/>
      <c r="P52" s="158"/>
      <c r="Q52" s="331">
        <v>964</v>
      </c>
      <c r="R52" s="331" t="s">
        <v>479</v>
      </c>
      <c r="S52" s="332" t="s">
        <v>98</v>
      </c>
      <c r="T52" s="332" t="s">
        <v>99</v>
      </c>
      <c r="U52" s="333" t="s">
        <v>481</v>
      </c>
      <c r="V52" s="334" t="s">
        <v>480</v>
      </c>
      <c r="W52" s="331" t="s">
        <v>12</v>
      </c>
      <c r="X52" s="331"/>
      <c r="Y52" s="335">
        <v>2190000</v>
      </c>
      <c r="Z52" s="248">
        <v>2190000</v>
      </c>
      <c r="AA52" s="249">
        <v>29.837088833381056</v>
      </c>
      <c r="AB52" s="249">
        <v>0</v>
      </c>
      <c r="AC52" s="338">
        <v>0</v>
      </c>
      <c r="AD52" s="273">
        <v>0</v>
      </c>
      <c r="AE52" s="158"/>
      <c r="AF52" s="320" t="s">
        <v>473</v>
      </c>
      <c r="AG52" s="250" t="s">
        <v>544</v>
      </c>
      <c r="AH52" s="276" t="s">
        <v>442</v>
      </c>
      <c r="AI52" s="276" t="s">
        <v>442</v>
      </c>
      <c r="AJ52" s="276" t="s">
        <v>442</v>
      </c>
      <c r="AK52" s="276" t="s">
        <v>442</v>
      </c>
      <c r="AL52" s="276" t="s">
        <v>442</v>
      </c>
      <c r="AM52" s="276" t="s">
        <v>442</v>
      </c>
      <c r="AN52" s="276" t="s">
        <v>442</v>
      </c>
      <c r="AO52" s="216"/>
    </row>
    <row r="53" spans="1:41" ht="17" thickBot="1">
      <c r="A53" s="366" t="s">
        <v>150</v>
      </c>
      <c r="B53" s="366" t="s">
        <v>151</v>
      </c>
      <c r="C53" s="49"/>
      <c r="D53" s="49"/>
      <c r="E53" s="49"/>
      <c r="F53" s="49"/>
      <c r="G53" s="49"/>
      <c r="H53" s="49" t="s">
        <v>147</v>
      </c>
      <c r="I53" s="49"/>
      <c r="J53" s="49"/>
      <c r="K53" s="49" t="s">
        <v>148</v>
      </c>
      <c r="L53" s="49"/>
      <c r="M53" s="49"/>
      <c r="N53" s="247">
        <v>1</v>
      </c>
      <c r="Q53" s="105">
        <v>965</v>
      </c>
      <c r="R53" s="279" t="s">
        <v>486</v>
      </c>
      <c r="S53" s="280" t="s">
        <v>484</v>
      </c>
      <c r="T53" s="279" t="s">
        <v>490</v>
      </c>
      <c r="U53" s="279" t="s">
        <v>277</v>
      </c>
      <c r="V53" s="280" t="s">
        <v>213</v>
      </c>
      <c r="W53" s="279" t="s">
        <v>201</v>
      </c>
      <c r="X53" s="279"/>
      <c r="Y53" s="281">
        <v>1418750</v>
      </c>
      <c r="Z53" s="248" t="s">
        <v>545</v>
      </c>
      <c r="AA53" s="249">
        <v>19.329392594684645</v>
      </c>
      <c r="AB53" s="249">
        <v>0</v>
      </c>
      <c r="AC53" s="338">
        <v>0</v>
      </c>
      <c r="AD53" s="273">
        <v>0</v>
      </c>
      <c r="AE53" s="158"/>
      <c r="AF53" s="320" t="s">
        <v>474</v>
      </c>
      <c r="AG53" s="250" t="s">
        <v>544</v>
      </c>
      <c r="AH53" s="276" t="s">
        <v>442</v>
      </c>
      <c r="AI53" s="276" t="s">
        <v>442</v>
      </c>
      <c r="AJ53" s="276" t="s">
        <v>442</v>
      </c>
      <c r="AK53" s="276" t="s">
        <v>442</v>
      </c>
      <c r="AL53" s="276" t="s">
        <v>442</v>
      </c>
      <c r="AM53" s="276" t="s">
        <v>442</v>
      </c>
      <c r="AN53" s="276" t="s">
        <v>442</v>
      </c>
      <c r="AO53" s="216"/>
    </row>
    <row r="54" spans="1:41" ht="17" thickBot="1">
      <c r="A54" s="366" t="s">
        <v>150</v>
      </c>
      <c r="B54" s="366" t="s">
        <v>151</v>
      </c>
      <c r="C54" s="49"/>
      <c r="D54" s="49"/>
      <c r="E54" s="49"/>
      <c r="F54" s="49"/>
      <c r="G54" s="49"/>
      <c r="H54" s="49" t="s">
        <v>147</v>
      </c>
      <c r="I54" s="49"/>
      <c r="J54" s="49"/>
      <c r="K54" s="49" t="s">
        <v>148</v>
      </c>
      <c r="L54" s="49"/>
      <c r="M54" s="49"/>
      <c r="N54" s="247">
        <v>1</v>
      </c>
      <c r="Q54" s="105">
        <v>966</v>
      </c>
      <c r="R54" s="279" t="s">
        <v>486</v>
      </c>
      <c r="S54" s="280" t="s">
        <v>484</v>
      </c>
      <c r="T54" s="279" t="s">
        <v>488</v>
      </c>
      <c r="U54" s="279" t="s">
        <v>277</v>
      </c>
      <c r="V54" s="280" t="s">
        <v>213</v>
      </c>
      <c r="W54" s="279" t="s">
        <v>201</v>
      </c>
      <c r="X54" s="279"/>
      <c r="Y54" s="281">
        <v>1418750</v>
      </c>
      <c r="Z54" s="248" t="s">
        <v>545</v>
      </c>
      <c r="AA54" s="249">
        <v>19.329392594684645</v>
      </c>
      <c r="AB54" s="249">
        <v>0</v>
      </c>
      <c r="AC54" s="338">
        <v>0</v>
      </c>
      <c r="AD54" s="273">
        <v>0</v>
      </c>
      <c r="AE54" s="158"/>
      <c r="AF54" s="320" t="s">
        <v>474</v>
      </c>
      <c r="AG54" s="250" t="s">
        <v>544</v>
      </c>
      <c r="AH54" s="276" t="s">
        <v>442</v>
      </c>
      <c r="AI54" s="276" t="s">
        <v>442</v>
      </c>
      <c r="AJ54" s="276" t="s">
        <v>442</v>
      </c>
      <c r="AK54" s="276" t="s">
        <v>442</v>
      </c>
      <c r="AL54" s="276" t="s">
        <v>442</v>
      </c>
      <c r="AM54" s="276" t="s">
        <v>442</v>
      </c>
      <c r="AN54" s="276" t="s">
        <v>442</v>
      </c>
      <c r="AO54" s="216"/>
    </row>
    <row r="55" spans="1:41" ht="17" thickBot="1">
      <c r="A55" s="366" t="s">
        <v>150</v>
      </c>
      <c r="B55" s="366" t="s">
        <v>151</v>
      </c>
      <c r="C55" s="49"/>
      <c r="D55" s="49"/>
      <c r="E55" s="49"/>
      <c r="F55" s="49"/>
      <c r="G55" s="49"/>
      <c r="H55" s="49" t="s">
        <v>147</v>
      </c>
      <c r="I55" s="49"/>
      <c r="J55" s="49"/>
      <c r="K55" s="49" t="s">
        <v>148</v>
      </c>
      <c r="L55" s="49"/>
      <c r="M55" s="49"/>
      <c r="N55" s="247">
        <v>1</v>
      </c>
      <c r="Q55" s="105">
        <v>967</v>
      </c>
      <c r="R55" s="279" t="s">
        <v>486</v>
      </c>
      <c r="S55" s="280" t="s">
        <v>484</v>
      </c>
      <c r="T55" s="279" t="s">
        <v>271</v>
      </c>
      <c r="U55" s="279" t="s">
        <v>277</v>
      </c>
      <c r="V55" s="280" t="s">
        <v>213</v>
      </c>
      <c r="W55" s="279" t="s">
        <v>201</v>
      </c>
      <c r="X55" s="279"/>
      <c r="Y55" s="281">
        <v>1418750</v>
      </c>
      <c r="Z55" s="248" t="s">
        <v>545</v>
      </c>
      <c r="AA55" s="249">
        <v>19.329392594684645</v>
      </c>
      <c r="AB55" s="249">
        <v>0</v>
      </c>
      <c r="AC55" s="338">
        <v>0</v>
      </c>
      <c r="AD55" s="273">
        <v>0</v>
      </c>
      <c r="AE55" s="158"/>
      <c r="AF55" s="320" t="s">
        <v>474</v>
      </c>
      <c r="AG55" s="250" t="s">
        <v>544</v>
      </c>
      <c r="AH55" s="276" t="s">
        <v>442</v>
      </c>
      <c r="AI55" s="276" t="s">
        <v>442</v>
      </c>
      <c r="AJ55" s="276" t="s">
        <v>442</v>
      </c>
      <c r="AK55" s="276" t="s">
        <v>442</v>
      </c>
      <c r="AL55" s="276" t="s">
        <v>442</v>
      </c>
      <c r="AM55" s="276" t="s">
        <v>442</v>
      </c>
      <c r="AN55" s="276" t="s">
        <v>442</v>
      </c>
      <c r="AO55" s="216"/>
    </row>
    <row r="56" spans="1:41" ht="17" thickBot="1">
      <c r="A56" s="366" t="s">
        <v>150</v>
      </c>
      <c r="B56" s="366" t="s">
        <v>151</v>
      </c>
      <c r="C56" s="49"/>
      <c r="D56" s="49"/>
      <c r="E56" s="49"/>
      <c r="F56" s="49"/>
      <c r="G56" s="49"/>
      <c r="H56" s="49" t="s">
        <v>147</v>
      </c>
      <c r="I56" s="49"/>
      <c r="J56" s="49"/>
      <c r="K56" s="49" t="s">
        <v>148</v>
      </c>
      <c r="L56" s="49"/>
      <c r="M56" s="49"/>
      <c r="N56" s="247">
        <v>1</v>
      </c>
      <c r="Q56" s="105">
        <v>968</v>
      </c>
      <c r="R56" s="279" t="s">
        <v>486</v>
      </c>
      <c r="S56" s="280" t="s">
        <v>484</v>
      </c>
      <c r="T56" s="279" t="s">
        <v>351</v>
      </c>
      <c r="U56" s="279" t="s">
        <v>277</v>
      </c>
      <c r="V56" s="280" t="s">
        <v>213</v>
      </c>
      <c r="W56" s="279" t="s">
        <v>201</v>
      </c>
      <c r="X56" s="279"/>
      <c r="Y56" s="281">
        <v>1418750</v>
      </c>
      <c r="Z56" s="248" t="s">
        <v>545</v>
      </c>
      <c r="AA56" s="249">
        <v>19.329392594684645</v>
      </c>
      <c r="AB56" s="249">
        <v>0</v>
      </c>
      <c r="AC56" s="338">
        <v>0</v>
      </c>
      <c r="AD56" s="273">
        <v>0</v>
      </c>
      <c r="AE56" s="158"/>
      <c r="AF56" s="320" t="s">
        <v>474</v>
      </c>
      <c r="AG56" s="250" t="s">
        <v>544</v>
      </c>
      <c r="AH56" s="276" t="s">
        <v>442</v>
      </c>
      <c r="AI56" s="276" t="s">
        <v>442</v>
      </c>
      <c r="AJ56" s="276" t="s">
        <v>442</v>
      </c>
      <c r="AK56" s="276" t="s">
        <v>442</v>
      </c>
      <c r="AL56" s="276" t="s">
        <v>442</v>
      </c>
      <c r="AM56" s="276" t="s">
        <v>442</v>
      </c>
      <c r="AN56" s="276" t="s">
        <v>442</v>
      </c>
      <c r="AO56" s="216"/>
    </row>
    <row r="57" spans="1:41" ht="17" thickBot="1">
      <c r="A57" s="366" t="s">
        <v>150</v>
      </c>
      <c r="B57" s="366" t="s">
        <v>151</v>
      </c>
      <c r="C57" s="49"/>
      <c r="D57" s="49"/>
      <c r="E57" s="49"/>
      <c r="F57" s="49"/>
      <c r="G57" s="49"/>
      <c r="H57" s="49"/>
      <c r="I57" s="49"/>
      <c r="J57" s="49"/>
      <c r="K57" s="49" t="s">
        <v>148</v>
      </c>
      <c r="L57" s="49"/>
      <c r="M57" s="49"/>
      <c r="N57" s="247">
        <v>1</v>
      </c>
      <c r="Q57" s="105">
        <v>969</v>
      </c>
      <c r="R57" s="279" t="s">
        <v>487</v>
      </c>
      <c r="S57" s="280" t="s">
        <v>483</v>
      </c>
      <c r="T57" s="279" t="s">
        <v>266</v>
      </c>
      <c r="U57" s="279" t="s">
        <v>277</v>
      </c>
      <c r="V57" s="280" t="s">
        <v>213</v>
      </c>
      <c r="W57" s="279" t="s">
        <v>201</v>
      </c>
      <c r="X57" s="279"/>
      <c r="Y57" s="281">
        <v>1500000</v>
      </c>
      <c r="Z57" s="248" t="s">
        <v>545</v>
      </c>
      <c r="AA57" s="249">
        <v>20.436362214644561</v>
      </c>
      <c r="AB57" s="249">
        <v>0</v>
      </c>
      <c r="AC57" s="338">
        <v>0</v>
      </c>
      <c r="AD57" s="273">
        <v>0</v>
      </c>
      <c r="AE57" s="158"/>
      <c r="AF57" s="320" t="s">
        <v>474</v>
      </c>
      <c r="AG57" s="250" t="s">
        <v>544</v>
      </c>
      <c r="AH57" s="276" t="s">
        <v>442</v>
      </c>
      <c r="AI57" s="276" t="s">
        <v>442</v>
      </c>
      <c r="AJ57" s="276" t="s">
        <v>442</v>
      </c>
      <c r="AK57" s="276" t="s">
        <v>442</v>
      </c>
      <c r="AL57" s="276" t="s">
        <v>442</v>
      </c>
      <c r="AM57" s="276" t="s">
        <v>442</v>
      </c>
      <c r="AN57" s="276" t="s">
        <v>442</v>
      </c>
      <c r="AO57" s="216"/>
    </row>
    <row r="58" spans="1:41" ht="17" thickBot="1">
      <c r="A58" s="366" t="s">
        <v>150</v>
      </c>
      <c r="B58" s="366" t="s">
        <v>151</v>
      </c>
      <c r="C58" s="49"/>
      <c r="D58" s="49"/>
      <c r="E58" s="49"/>
      <c r="F58" s="49"/>
      <c r="G58" s="49"/>
      <c r="H58" s="49"/>
      <c r="I58" s="49"/>
      <c r="J58" s="49"/>
      <c r="K58" s="49" t="s">
        <v>148</v>
      </c>
      <c r="L58" s="49"/>
      <c r="M58" s="49"/>
      <c r="N58" s="247">
        <v>1</v>
      </c>
      <c r="Q58" s="105">
        <v>970</v>
      </c>
      <c r="R58" s="279" t="s">
        <v>487</v>
      </c>
      <c r="S58" s="280" t="s">
        <v>483</v>
      </c>
      <c r="T58" s="279" t="s">
        <v>337</v>
      </c>
      <c r="U58" s="279" t="s">
        <v>277</v>
      </c>
      <c r="V58" s="280" t="s">
        <v>213</v>
      </c>
      <c r="W58" s="279" t="s">
        <v>201</v>
      </c>
      <c r="X58" s="279"/>
      <c r="Y58" s="281">
        <v>1500000</v>
      </c>
      <c r="Z58" s="248" t="s">
        <v>545</v>
      </c>
      <c r="AA58" s="249">
        <v>20.436362214644561</v>
      </c>
      <c r="AB58" s="249">
        <v>0</v>
      </c>
      <c r="AC58" s="338">
        <v>0</v>
      </c>
      <c r="AD58" s="273">
        <v>0</v>
      </c>
      <c r="AE58" s="158"/>
      <c r="AF58" s="320" t="s">
        <v>474</v>
      </c>
      <c r="AG58" s="250" t="s">
        <v>544</v>
      </c>
      <c r="AH58" s="276" t="s">
        <v>442</v>
      </c>
      <c r="AI58" s="276" t="s">
        <v>442</v>
      </c>
      <c r="AJ58" s="276" t="s">
        <v>442</v>
      </c>
      <c r="AK58" s="276" t="s">
        <v>442</v>
      </c>
      <c r="AL58" s="276" t="s">
        <v>442</v>
      </c>
      <c r="AM58" s="276" t="s">
        <v>442</v>
      </c>
      <c r="AN58" s="276" t="s">
        <v>442</v>
      </c>
      <c r="AO58" s="216"/>
    </row>
    <row r="59" spans="1:4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247">
        <v>1</v>
      </c>
      <c r="Q59" s="105">
        <v>971</v>
      </c>
      <c r="R59" s="261" t="s">
        <v>475</v>
      </c>
      <c r="S59" s="261" t="s">
        <v>477</v>
      </c>
      <c r="T59" s="261" t="s">
        <v>71</v>
      </c>
      <c r="U59" s="261" t="s">
        <v>396</v>
      </c>
      <c r="V59" s="261" t="s">
        <v>482</v>
      </c>
      <c r="W59" s="261" t="s">
        <v>12</v>
      </c>
      <c r="X59" s="261"/>
      <c r="Y59" s="337">
        <v>2100000</v>
      </c>
      <c r="Z59" s="248">
        <v>2100000</v>
      </c>
      <c r="AA59" s="249">
        <v>28.610907100502384</v>
      </c>
      <c r="AB59" s="249">
        <v>0</v>
      </c>
      <c r="AC59" s="338">
        <v>0</v>
      </c>
      <c r="AD59" s="273">
        <v>0</v>
      </c>
      <c r="AE59" s="158"/>
      <c r="AF59" s="330">
        <v>46149</v>
      </c>
      <c r="AG59" s="250" t="s">
        <v>544</v>
      </c>
      <c r="AH59" s="276" t="s">
        <v>442</v>
      </c>
      <c r="AI59" s="276" t="s">
        <v>442</v>
      </c>
      <c r="AJ59" s="276" t="s">
        <v>442</v>
      </c>
      <c r="AK59" s="276" t="s">
        <v>442</v>
      </c>
      <c r="AL59" s="276" t="s">
        <v>442</v>
      </c>
      <c r="AM59" s="276" t="s">
        <v>442</v>
      </c>
      <c r="AN59" s="276" t="s">
        <v>442</v>
      </c>
      <c r="AO59" s="216"/>
    </row>
    <row r="60" spans="1:4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247">
        <v>1</v>
      </c>
      <c r="Q60" s="105">
        <v>972</v>
      </c>
      <c r="R60" s="261" t="s">
        <v>475</v>
      </c>
      <c r="S60" s="261" t="s">
        <v>478</v>
      </c>
      <c r="T60" s="261" t="s">
        <v>77</v>
      </c>
      <c r="U60" s="261" t="s">
        <v>396</v>
      </c>
      <c r="V60" s="261" t="s">
        <v>482</v>
      </c>
      <c r="W60" s="261" t="s">
        <v>12</v>
      </c>
      <c r="X60" s="261"/>
      <c r="Y60" s="337">
        <v>2360000</v>
      </c>
      <c r="Z60" s="248">
        <v>2360000</v>
      </c>
      <c r="AA60" s="249">
        <v>32.153209884374107</v>
      </c>
      <c r="AB60" s="249">
        <v>0</v>
      </c>
      <c r="AC60" s="338">
        <v>0</v>
      </c>
      <c r="AD60" s="273">
        <v>0</v>
      </c>
      <c r="AE60" s="158"/>
      <c r="AF60" s="330">
        <v>46149</v>
      </c>
      <c r="AG60" s="250" t="s">
        <v>544</v>
      </c>
      <c r="AH60" s="276" t="s">
        <v>442</v>
      </c>
      <c r="AI60" s="276" t="s">
        <v>442</v>
      </c>
      <c r="AJ60" s="276" t="s">
        <v>442</v>
      </c>
      <c r="AK60" s="276" t="s">
        <v>442</v>
      </c>
      <c r="AL60" s="276" t="s">
        <v>442</v>
      </c>
      <c r="AM60" s="276" t="s">
        <v>442</v>
      </c>
      <c r="AN60" s="276" t="s">
        <v>442</v>
      </c>
      <c r="AO60" s="216"/>
    </row>
    <row r="61" spans="1:4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247">
        <v>1</v>
      </c>
      <c r="Q61" s="105">
        <v>973</v>
      </c>
      <c r="R61" s="261" t="s">
        <v>475</v>
      </c>
      <c r="S61" s="261" t="s">
        <v>476</v>
      </c>
      <c r="T61" s="261" t="s">
        <v>171</v>
      </c>
      <c r="U61" s="261" t="s">
        <v>396</v>
      </c>
      <c r="V61" s="261" t="s">
        <v>482</v>
      </c>
      <c r="W61" s="261" t="s">
        <v>12</v>
      </c>
      <c r="X61" s="261"/>
      <c r="Y61" s="337">
        <v>3990000</v>
      </c>
      <c r="Z61" s="248">
        <v>3990000</v>
      </c>
      <c r="AA61" s="249">
        <v>54.360723490954527</v>
      </c>
      <c r="AB61" s="249">
        <v>0</v>
      </c>
      <c r="AC61" s="338">
        <v>0</v>
      </c>
      <c r="AD61" s="273">
        <v>0</v>
      </c>
      <c r="AE61" s="158"/>
      <c r="AF61" s="330">
        <v>46149</v>
      </c>
      <c r="AG61" s="250" t="s">
        <v>544</v>
      </c>
      <c r="AH61" s="276" t="s">
        <v>442</v>
      </c>
      <c r="AI61" s="276" t="s">
        <v>442</v>
      </c>
      <c r="AJ61" s="276" t="s">
        <v>442</v>
      </c>
      <c r="AK61" s="276" t="s">
        <v>442</v>
      </c>
      <c r="AL61" s="276" t="s">
        <v>442</v>
      </c>
      <c r="AM61" s="276" t="s">
        <v>442</v>
      </c>
      <c r="AN61" s="276" t="s">
        <v>442</v>
      </c>
      <c r="AO61" s="216"/>
    </row>
    <row r="62" spans="1:4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247">
        <v>1</v>
      </c>
      <c r="Q62" s="105">
        <v>974</v>
      </c>
      <c r="R62" s="261" t="s">
        <v>475</v>
      </c>
      <c r="S62" s="261" t="s">
        <v>92</v>
      </c>
      <c r="T62" s="261" t="s">
        <v>93</v>
      </c>
      <c r="U62" s="261" t="s">
        <v>396</v>
      </c>
      <c r="V62" s="261" t="s">
        <v>482</v>
      </c>
      <c r="W62" s="261" t="s">
        <v>12</v>
      </c>
      <c r="X62" s="261"/>
      <c r="Y62" s="337">
        <v>600000</v>
      </c>
      <c r="Z62" s="248">
        <v>600000</v>
      </c>
      <c r="AA62" s="249">
        <v>8.1745448858578236</v>
      </c>
      <c r="AB62" s="249">
        <v>0</v>
      </c>
      <c r="AC62" s="338">
        <v>0</v>
      </c>
      <c r="AD62" s="273">
        <v>0</v>
      </c>
      <c r="AE62" s="158"/>
      <c r="AF62" s="330">
        <v>46149</v>
      </c>
      <c r="AG62" s="250" t="s">
        <v>544</v>
      </c>
      <c r="AH62" s="276" t="s">
        <v>442</v>
      </c>
      <c r="AI62" s="276" t="s">
        <v>442</v>
      </c>
      <c r="AJ62" s="276" t="s">
        <v>442</v>
      </c>
      <c r="AK62" s="276" t="s">
        <v>442</v>
      </c>
      <c r="AL62" s="276" t="s">
        <v>442</v>
      </c>
      <c r="AM62" s="276" t="s">
        <v>442</v>
      </c>
      <c r="AN62" s="276" t="s">
        <v>442</v>
      </c>
      <c r="AO62" s="216"/>
    </row>
    <row r="74" spans="36:36">
      <c r="AJ74" t="s">
        <v>550</v>
      </c>
    </row>
  </sheetData>
  <conditionalFormatting sqref="AH27:AO62">
    <cfRule type="containsText" dxfId="1" priority="1" operator="containsText" text="x">
      <formula>NOT(ISERROR(SEARCH("x",AH27)))</formula>
    </cfRule>
  </conditionalFormatting>
  <conditionalFormatting sqref="AH3:AP26">
    <cfRule type="containsText" dxfId="0" priority="5" operator="containsText" text="x">
      <formula>NOT(ISERROR(SEARCH("x",AH3)))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plan de producción</vt:lpstr>
      <vt:lpstr>Mano de obra</vt:lpstr>
      <vt:lpstr>Precios y materiales </vt:lpstr>
      <vt:lpstr>despachados</vt:lpstr>
      <vt:lpstr>'plan de producción'!Print_Area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Botero Rincón</dc:creator>
  <cp:lastModifiedBy>Santiago Botero Rincón</cp:lastModifiedBy>
  <cp:lastPrinted>2026-05-11T13:44:37Z</cp:lastPrinted>
  <dcterms:created xsi:type="dcterms:W3CDTF">2025-07-18T14:35:13Z</dcterms:created>
  <dcterms:modified xsi:type="dcterms:W3CDTF">2026-05-28T15:26:31Z</dcterms:modified>
</cp:coreProperties>
</file>